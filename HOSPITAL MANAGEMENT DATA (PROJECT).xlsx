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607b87c9ef58463/Desktop/"/>
    </mc:Choice>
  </mc:AlternateContent>
  <xr:revisionPtr revIDLastSave="0" documentId="14_{65F1E964-8FD2-41E0-82E8-466B4AC1ACC4}" xr6:coauthVersionLast="47" xr6:coauthVersionMax="47" xr10:uidLastSave="{00000000-0000-0000-0000-000000000000}"/>
  <bookViews>
    <workbookView xWindow="-110" yWindow="-110" windowWidth="19420" windowHeight="11500" firstSheet="9" activeTab="16" xr2:uid="{811324F1-E346-45A7-9173-9DBA08233417}"/>
  </bookViews>
  <sheets>
    <sheet name="billing" sheetId="6" r:id="rId1"/>
    <sheet name="treatments" sheetId="5" r:id="rId2"/>
    <sheet name="doctors" sheetId="4" r:id="rId3"/>
    <sheet name="patients" sheetId="3" r:id="rId4"/>
    <sheet name="appointments" sheetId="2" r:id="rId5"/>
    <sheet name="TOTAL APPOINTMENT" sheetId="33" r:id="rId6"/>
    <sheet name="NO-SHOW %" sheetId="34" r:id="rId7"/>
    <sheet name="COMPLETION RATE" sheetId="35" r:id="rId8"/>
    <sheet name="TOTAL BILLING BY PAYMENT STATUS" sheetId="37" r:id="rId9"/>
    <sheet name="BILLING PAYMENT STATUS" sheetId="38" r:id="rId10"/>
    <sheet name="PERCENTAGES OF TOTAL BILING" sheetId="39" r:id="rId11"/>
    <sheet name="AVERAGE COST BY TREATMENT" sheetId="41" r:id="rId12"/>
    <sheet name="TOTAL TREATMENT COST BY TREATME" sheetId="43" r:id="rId13"/>
    <sheet name="DASHBOARD" sheetId="45" r:id="rId14"/>
    <sheet name="TOTAL BILLING AMOUNT" sheetId="47" r:id="rId15"/>
    <sheet name="HOSPITAL MANAGEMENT DATA" sheetId="1" r:id="rId16"/>
    <sheet name="CHANGE LOG" sheetId="7" r:id="rId17"/>
    <sheet name="ANALYSIS" sheetId="8" r:id="rId18"/>
    <sheet name="CALCULATIONS" sheetId="21" r:id="rId19"/>
    <sheet name="INSIGHTS&amp;RECOMMENDATIONS" sheetId="48" r:id="rId20"/>
  </sheets>
  <definedNames>
    <definedName name="_xlcn.WorksheetConnection_HOSPITALMANAGEMENTDATAPROJECT.xlsxTable61" hidden="1">Table6[]</definedName>
    <definedName name="_xlcn.WorksheetConnection_HOSPITALMANAGEMENTDATAPROJECT.xlsxtreatments1" hidden="1">treatments[]</definedName>
    <definedName name="ExternalData_1" localSheetId="4" hidden="1">appointments!$A$1:$G$201</definedName>
    <definedName name="ExternalData_2" localSheetId="3" hidden="1">patients!$A$1:$K$51</definedName>
    <definedName name="ExternalData_3" localSheetId="2" hidden="1">doctors!$A$1:$H$11</definedName>
    <definedName name="ExternalData_4" localSheetId="1" hidden="1">treatments!$A$1:$F$201</definedName>
    <definedName name="ExternalData_5" localSheetId="0" hidden="1">billing!$A$1:$G$201</definedName>
    <definedName name="Slicer_HOSPITAL_BRANCH">#N/A</definedName>
    <definedName name="Slicer_payment_status">#N/A</definedName>
    <definedName name="Slicer_SPECIALIZATION">#N/A</definedName>
    <definedName name="Slicer_status">#N/A</definedName>
    <definedName name="Slicer_treatment_type">#N/A</definedName>
  </definedNames>
  <calcPr calcId="191029"/>
  <pivotCaches>
    <pivotCache cacheId="231" r:id="rId21"/>
    <pivotCache cacheId="227" r:id="rId22"/>
    <pivotCache cacheId="230" r:id="rId23"/>
  </pivotCaches>
  <extLst>
    <ext xmlns:x14="http://schemas.microsoft.com/office/spreadsheetml/2009/9/main" uri="{876F7934-8845-4945-9796-88D515C7AA90}">
      <x14:pivotCaches>
        <pivotCache cacheId="146"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HOSPITAL MANAGEMENT DATA (PROJECT).xlsx!Table6"/>
          <x15:modelTable id="treatments" name="treatments" connection="WorksheetConnection_HOSPITAL MANAGEMENT DATA (PROJECT).xlsx!treatme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0" i="1" l="1"/>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 i="1"/>
  <c r="C3" i="1"/>
  <c r="C4" i="1"/>
  <c r="C5" i="1"/>
  <c r="C6" i="1"/>
  <c r="C7" i="1"/>
  <c r="C8" i="1"/>
  <c r="C9" i="1"/>
  <c r="C10" i="1"/>
  <c r="C11" i="1"/>
  <c r="C12" i="1"/>
  <c r="C13" i="1"/>
  <c r="C14" i="1"/>
  <c r="C15" i="1"/>
  <c r="C16" i="1"/>
  <c r="C17" i="1"/>
  <c r="C18" i="1"/>
  <c r="C19"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97F26A-F5E9-4A79-90F1-4D89EA62609A}" keepAlive="1" name="Query - appointments" description="Connection to the 'appointments' query in the workbook." type="5" refreshedVersion="8" background="1" saveData="1">
    <dbPr connection="Provider=Microsoft.Mashup.OleDb.1;Data Source=$Workbook$;Location=appointments;Extended Properties=&quot;&quot;" command="SELECT * FROM [appointments]"/>
  </connection>
  <connection id="2" xr16:uid="{DA6F624C-C8AD-4F3D-8B87-E7A82FF60AAB}" keepAlive="1" name="Query - billing" description="Connection to the 'billing' query in the workbook." type="5" refreshedVersion="8" background="1" saveData="1">
    <dbPr connection="Provider=Microsoft.Mashup.OleDb.1;Data Source=$Workbook$;Location=billing;Extended Properties=&quot;&quot;" command="SELECT * FROM [billing]"/>
  </connection>
  <connection id="3" xr16:uid="{D0AAC203-8EE7-423F-BFB0-82491E1DAE6D}"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4" xr16:uid="{2939FB18-E926-44D0-8C66-8ACA53629022}"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5" xr16:uid="{835BE10F-7D03-4207-BF10-28A5822428BF}" keepAlive="1" name="Query - treatments" description="Connection to the 'treatments' query in the workbook." type="5" refreshedVersion="8" background="1" saveData="1">
    <dbPr connection="Provider=Microsoft.Mashup.OleDb.1;Data Source=$Workbook$;Location=treatments;Extended Properties=&quot;&quot;" command="SELECT * FROM [treatments]"/>
  </connection>
  <connection id="6" xr16:uid="{A9323D27-F4B6-4482-99B9-FD39F4658D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1ACF6692-0438-4A25-96D3-7E8DCFEC9EB3}" name="WorksheetConnection_HOSPITAL MANAGEMENT DATA (PROJECT).xlsx!Table6" type="102" refreshedVersion="8" minRefreshableVersion="5">
    <extLst>
      <ext xmlns:x15="http://schemas.microsoft.com/office/spreadsheetml/2010/11/main" uri="{DE250136-89BD-433C-8126-D09CA5730AF9}">
        <x15:connection id="Table6" autoDelete="1">
          <x15:rangePr sourceName="_xlcn.WorksheetConnection_HOSPITALMANAGEMENTDATAPROJECT.xlsxTable61"/>
        </x15:connection>
      </ext>
    </extLst>
  </connection>
  <connection id="8" xr16:uid="{05BBD2C0-37EE-4DDB-832C-4CC0C79F36FE}" name="WorksheetConnection_HOSPITAL MANAGEMENT DATA (PROJECT).xlsx!treatments" type="102" refreshedVersion="8" minRefreshableVersion="5">
    <extLst>
      <ext xmlns:x15="http://schemas.microsoft.com/office/spreadsheetml/2010/11/main" uri="{DE250136-89BD-433C-8126-D09CA5730AF9}">
        <x15:connection id="treatments">
          <x15:rangePr sourceName="_xlcn.WorksheetConnection_HOSPITALMANAGEMENTDATAPROJECT.xlsxtreatments1"/>
        </x15:connection>
      </ext>
    </extLst>
  </connection>
</connections>
</file>

<file path=xl/sharedStrings.xml><?xml version="1.0" encoding="utf-8"?>
<sst xmlns="http://schemas.openxmlformats.org/spreadsheetml/2006/main" count="5464" uniqueCount="935">
  <si>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</si>
  <si>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</si>
  <si>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</si>
  <si>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</si>
  <si>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</si>
  <si>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</si>
  <si>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</si>
  <si>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</si>
  <si>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</si>
  <si>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</si>
  <si>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</si>
  <si>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</si>
  <si>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</si>
  <si>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</si>
  <si>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</si>
  <si>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</si>
  <si>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</si>
  <si>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</si>
  <si>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</si>
  <si>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</si>
  <si>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</si>
  <si>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</si>
  <si>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</si>
  <si>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</si>
  <si>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</si>
  <si>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</si>
  <si>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</si>
  <si>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</si>
  <si>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</si>
  <si>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</si>
  <si>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</si>
  <si>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</si>
  <si>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</si>
  <si>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</si>
  <si>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</si>
  <si>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</si>
  <si>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</si>
  <si>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</si>
  <si>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</si>
  <si>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</si>
  <si>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</si>
  <si>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</si>
  <si>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</si>
  <si>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</si>
  <si>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</si>
  <si>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</si>
  <si>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</si>
  <si>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</si>
  <si>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</si>
  <si>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</si>
  <si>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</si>
  <si>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</si>
  <si>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</si>
  <si>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</si>
  <si>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</si>
  <si>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</si>
  <si>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</si>
  <si>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</si>
  <si>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</si>
  <si>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</si>
  <si>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</si>
  <si>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</si>
  <si>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</si>
  <si>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</si>
  <si>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</si>
  <si>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</si>
  <si>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</si>
  <si>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</si>
  <si>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</si>
  <si>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</si>
  <si>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</si>
  <si>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</si>
  <si>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</si>
  <si>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</si>
  <si>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</si>
  <si>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</si>
  <si>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</si>
  <si>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</si>
  <si>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</si>
  <si>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</si>
  <si>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</si>
  <si>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</si>
  <si>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</si>
  <si>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</si>
  <si>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</si>
  <si>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</si>
  <si>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</si>
  <si>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</si>
  <si>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</si>
  <si>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</si>
  <si>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</si>
  <si>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</si>
  <si>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</si>
  <si>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</si>
  <si>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</si>
  <si>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</si>
  <si>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</si>
  <si>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</si>
  <si>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</si>
  <si>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</si>
  <si>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</si>
  <si>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</si>
  <si>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</si>
  <si>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</si>
  <si>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</si>
  <si>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</si>
  <si>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</si>
  <si>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</si>
  <si>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</si>
  <si>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</si>
  <si>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</si>
  <si>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</si>
  <si>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</si>
  <si>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</si>
  <si>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</si>
  <si>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</si>
  <si>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</si>
  <si>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</si>
  <si>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</si>
  <si>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</si>
  <si>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</si>
  <si>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</si>
  <si>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</si>
  <si>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</si>
  <si>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</si>
  <si>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</si>
  <si>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</si>
  <si>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</si>
  <si>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</si>
  <si>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</si>
  <si>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</si>
  <si>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</si>
  <si>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</si>
  <si>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</si>
  <si>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</si>
  <si>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</si>
  <si>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</si>
  <si>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</si>
  <si>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</si>
  <si>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</si>
  <si>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</si>
  <si>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</si>
  <si>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</si>
  <si>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</si>
  <si>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</si>
  <si>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</si>
  <si>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</si>
  <si>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</si>
  <si>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</si>
  <si>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</si>
  <si>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</si>
  <si>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</si>
  <si>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</si>
  <si>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</si>
  <si>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</si>
  <si>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</si>
  <si>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</si>
  <si>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</si>
  <si>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</si>
  <si>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</si>
  <si>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</si>
  <si>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</si>
  <si>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</si>
  <si>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</si>
  <si>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</si>
  <si>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</si>
  <si>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</si>
  <si>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</si>
  <si>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</si>
  <si>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</si>
  <si>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</si>
  <si>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</si>
  <si>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</si>
  <si>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</si>
  <si>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</si>
  <si>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</si>
  <si>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</si>
  <si>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</si>
  <si>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</si>
  <si>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</si>
  <si>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</si>
  <si>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</si>
  <si>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</si>
  <si>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</si>
  <si>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</si>
  <si>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</si>
  <si>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</si>
  <si>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</si>
  <si>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</si>
  <si>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</si>
  <si>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</si>
  <si>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</si>
  <si>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</si>
  <si>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</si>
  <si>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</si>
  <si>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</si>
  <si>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</si>
  <si>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</si>
  <si>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</si>
  <si>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</si>
  <si>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</si>
  <si>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</si>
  <si>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</si>
  <si>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</si>
  <si>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</si>
  <si>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</si>
  <si>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</si>
  <si>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</si>
  <si>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</si>
  <si>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</si>
  <si>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</si>
  <si>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</si>
  <si>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</si>
  <si>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</si>
  <si>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</si>
  <si>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</si>
  <si>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</si>
  <si>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</si>
  <si>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</si>
  <si>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</si>
  <si>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</si>
  <si>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</si>
  <si>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</si>
  <si>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</si>
  <si>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</si>
  <si>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</si>
  <si>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</si>
  <si>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</si>
  <si>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</si>
  <si>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</si>
  <si>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</si>
  <si>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</si>
  <si>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</si>
  <si>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</si>
  <si>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</si>
  <si>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</si>
  <si>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</si>
  <si>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</si>
  <si>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</si>
  <si>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</si>
  <si>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</si>
  <si>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</si>
  <si>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</si>
  <si>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</si>
  <si>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</si>
  <si>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</si>
  <si>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</si>
  <si>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</si>
  <si>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</si>
  <si>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</si>
  <si>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</si>
  <si>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</si>
  <si>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</si>
  <si>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</si>
  <si>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</si>
  <si>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</si>
  <si>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</si>
  <si>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</si>
  <si>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</si>
  <si>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</si>
  <si>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</si>
  <si>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</si>
  <si>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</si>
  <si>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</si>
  <si>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</si>
  <si>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</si>
  <si>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</si>
  <si>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</si>
  <si>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</si>
  <si>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</si>
  <si>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</si>
  <si>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</si>
  <si>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</si>
  <si>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</si>
  <si>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first_name</t>
  </si>
  <si>
    <t>last_name</t>
  </si>
  <si>
    <t>gender</t>
  </si>
  <si>
    <t>date_of_birth</t>
  </si>
  <si>
    <t>contact_number</t>
  </si>
  <si>
    <t>address</t>
  </si>
  <si>
    <t>registration_date</t>
  </si>
  <si>
    <t>insurance_provider</t>
  </si>
  <si>
    <t>insurance_number</t>
  </si>
  <si>
    <t>email</t>
  </si>
  <si>
    <t>David</t>
  </si>
  <si>
    <t>Williams</t>
  </si>
  <si>
    <t>F</t>
  </si>
  <si>
    <t>789 Pine Rd</t>
  </si>
  <si>
    <t>WellnessCorp</t>
  </si>
  <si>
    <t>INS840674</t>
  </si>
  <si>
    <t>david.williams@mail.com</t>
  </si>
  <si>
    <t>Emily</t>
  </si>
  <si>
    <t>Smith</t>
  </si>
  <si>
    <t>321 Maple Dr</t>
  </si>
  <si>
    <t>PulseSecure</t>
  </si>
  <si>
    <t>INS354079</t>
  </si>
  <si>
    <t>emily.smith@mail.com</t>
  </si>
  <si>
    <t>Laura</t>
  </si>
  <si>
    <t>Jones</t>
  </si>
  <si>
    <t>M</t>
  </si>
  <si>
    <t>INS650929</t>
  </si>
  <si>
    <t>laura.jones@mail.com</t>
  </si>
  <si>
    <t>Michael</t>
  </si>
  <si>
    <t>Johnson</t>
  </si>
  <si>
    <t>123 Elm St</t>
  </si>
  <si>
    <t>HealthIndia</t>
  </si>
  <si>
    <t>INS789944</t>
  </si>
  <si>
    <t>michael.johnson@mail.com</t>
  </si>
  <si>
    <t>Wilson</t>
  </si>
  <si>
    <t>MedCare Plus</t>
  </si>
  <si>
    <t>INS788105</t>
  </si>
  <si>
    <t>david.wilson@mail.com</t>
  </si>
  <si>
    <t>P006</t>
  </si>
  <si>
    <t>Linda</t>
  </si>
  <si>
    <t>INS613758</t>
  </si>
  <si>
    <t>linda.jones@mail.com</t>
  </si>
  <si>
    <t>Alex</t>
  </si>
  <si>
    <t>INS465890</t>
  </si>
  <si>
    <t>alex.johnson@mail.com</t>
  </si>
  <si>
    <t>Davis</t>
  </si>
  <si>
    <t>456 Oak Ave</t>
  </si>
  <si>
    <t>INS545101</t>
  </si>
  <si>
    <t>david.davis@mail.com</t>
  </si>
  <si>
    <t>INS136631</t>
  </si>
  <si>
    <t>laura.davis@mail.com</t>
  </si>
  <si>
    <t>Taylor</t>
  </si>
  <si>
    <t>INS866577</t>
  </si>
  <si>
    <t>michael.taylor@mail.com</t>
  </si>
  <si>
    <t>INS172991</t>
  </si>
  <si>
    <t>emily.jones@mail.com</t>
  </si>
  <si>
    <t>INS104014</t>
  </si>
  <si>
    <t>INS373237</t>
  </si>
  <si>
    <t>laura.johnson@mail.com</t>
  </si>
  <si>
    <t>INS118070</t>
  </si>
  <si>
    <t>alex.taylor@mail.com</t>
  </si>
  <si>
    <t>P015</t>
  </si>
  <si>
    <t>Sarah</t>
  </si>
  <si>
    <t>INS922209</t>
  </si>
  <si>
    <t>sarah.johnson@mail.com</t>
  </si>
  <si>
    <t>INS156958</t>
  </si>
  <si>
    <t>Jane</t>
  </si>
  <si>
    <t>INS182074</t>
  </si>
  <si>
    <t>jane.jones@mail.com</t>
  </si>
  <si>
    <t>INS635017</t>
  </si>
  <si>
    <t>laura.wilson@mail.com</t>
  </si>
  <si>
    <t>Miller</t>
  </si>
  <si>
    <t>INS855073</t>
  </si>
  <si>
    <t>sarah.miller@mail.com</t>
  </si>
  <si>
    <t>Moore</t>
  </si>
  <si>
    <t>INS276089</t>
  </si>
  <si>
    <t>jane.moore@mail.com</t>
  </si>
  <si>
    <t>INS297392</t>
  </si>
  <si>
    <t>michael.wilson@mail.com</t>
  </si>
  <si>
    <t>John</t>
  </si>
  <si>
    <t>Brown</t>
  </si>
  <si>
    <t>INS258823</t>
  </si>
  <si>
    <t>john.brown@mail.com</t>
  </si>
  <si>
    <t>INS730152</t>
  </si>
  <si>
    <t>linda.johnson@mail.com</t>
  </si>
  <si>
    <t>INS493002</t>
  </si>
  <si>
    <t>sarah.brown@mail.com</t>
  </si>
  <si>
    <t>Robert</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</si>
  <si>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</si>
  <si>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</si>
  <si>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</si>
  <si>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</si>
  <si>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</si>
  <si>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</si>
  <si>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</si>
  <si>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</si>
  <si>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</si>
  <si>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</si>
  <si>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</si>
  <si>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</si>
  <si>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</si>
  <si>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</si>
  <si>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</si>
  <si>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</si>
  <si>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</si>
  <si>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</si>
  <si>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</si>
  <si>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</si>
  <si>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</si>
  <si>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</si>
  <si>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</si>
  <si>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</si>
  <si>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</si>
  <si>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</si>
  <si>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</si>
  <si>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</si>
  <si>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</si>
  <si>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</si>
  <si>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</si>
  <si>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</si>
  <si>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</si>
  <si>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</si>
  <si>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</si>
  <si>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</si>
  <si>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</si>
  <si>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</si>
  <si>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</si>
  <si>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</si>
  <si>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</si>
  <si>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</si>
  <si>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</si>
  <si>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specialization</t>
  </si>
  <si>
    <t>phone_number</t>
  </si>
  <si>
    <t>years_experience</t>
  </si>
  <si>
    <t>hospital_branch</t>
  </si>
  <si>
    <t>Dermatology</t>
  </si>
  <si>
    <t>Westside Clinic</t>
  </si>
  <si>
    <t>dr.david.taylor@hospital.com</t>
  </si>
  <si>
    <t>Pediatrics</t>
  </si>
  <si>
    <t>Eastside Clinic</t>
  </si>
  <si>
    <t>dr.jane.davis@hospital.com</t>
  </si>
  <si>
    <t>dr.jane.smith@hospital.com</t>
  </si>
  <si>
    <t>Central Hospital</t>
  </si>
  <si>
    <t>dr.david.jones@hospital.com</t>
  </si>
  <si>
    <t>dr.sarah.taylor@hospital.com</t>
  </si>
  <si>
    <t>dr.alex.davis@hospital.com</t>
  </si>
  <si>
    <t>Oncology</t>
  </si>
  <si>
    <t>dr.robert.davis@hospital.com</t>
  </si>
  <si>
    <t>dr.linda.brown@hospital.com</t>
  </si>
  <si>
    <t>dr.sarah.smith@hospital.com</t>
  </si>
  <si>
    <t>dr.linda.wilson@hospital.com</t>
  </si>
  <si>
    <t>treatment_id</t>
  </si>
  <si>
    <t>treatment_type</t>
  </si>
  <si>
    <t>description</t>
  </si>
  <si>
    <t>cost</t>
  </si>
  <si>
    <t>treatment_date</t>
  </si>
  <si>
    <t>T001</t>
  </si>
  <si>
    <t>Chemotherapy</t>
  </si>
  <si>
    <t>Basic screening</t>
  </si>
  <si>
    <t>T002</t>
  </si>
  <si>
    <t>MRI</t>
  </si>
  <si>
    <t>Advanced protocol</t>
  </si>
  <si>
    <t>T003</t>
  </si>
  <si>
    <t>Standard procedure</t>
  </si>
  <si>
    <t>T004</t>
  </si>
  <si>
    <t>T005</t>
  </si>
  <si>
    <t>ECG</t>
  </si>
  <si>
    <t>T006</t>
  </si>
  <si>
    <t>T007</t>
  </si>
  <si>
    <t>T008</t>
  </si>
  <si>
    <t>Physiotherapy</t>
  </si>
  <si>
    <t>T009</t>
  </si>
  <si>
    <t>T010</t>
  </si>
  <si>
    <t>T011</t>
  </si>
  <si>
    <t>T012</t>
  </si>
  <si>
    <t>T013</t>
  </si>
  <si>
    <t>T014</t>
  </si>
  <si>
    <t>T015</t>
  </si>
  <si>
    <t>T016</t>
  </si>
  <si>
    <t>T017</t>
  </si>
  <si>
    <t>T018</t>
  </si>
  <si>
    <t>T019</t>
  </si>
  <si>
    <t>X-Ray</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</si>
  <si>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</si>
  <si>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</si>
  <si>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</si>
  <si>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</si>
  <si>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</si>
  <si>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</si>
  <si>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</si>
  <si>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</si>
  <si>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</si>
  <si>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</si>
  <si>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</si>
  <si>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</si>
  <si>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</si>
  <si>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</si>
  <si>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</si>
  <si>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</si>
  <si>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</si>
  <si>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</si>
  <si>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</si>
  <si>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</si>
  <si>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</si>
  <si>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</si>
  <si>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</si>
  <si>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</si>
  <si>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</si>
  <si>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</si>
  <si>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</si>
  <si>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</si>
  <si>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</si>
  <si>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</si>
  <si>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</si>
  <si>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</si>
  <si>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</si>
  <si>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</si>
  <si>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</si>
  <si>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</si>
  <si>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</si>
  <si>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</si>
  <si>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</si>
  <si>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</si>
  <si>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</si>
  <si>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</si>
  <si>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</si>
  <si>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</si>
  <si>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</si>
  <si>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</si>
  <si>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</si>
  <si>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</si>
  <si>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</si>
  <si>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</si>
  <si>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</si>
  <si>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</si>
  <si>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</si>
  <si>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</si>
  <si>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</si>
  <si>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</si>
  <si>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</si>
  <si>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</si>
  <si>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</si>
  <si>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</si>
  <si>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</si>
  <si>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</si>
  <si>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</si>
  <si>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</si>
  <si>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</si>
  <si>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</si>
  <si>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</si>
  <si>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</si>
  <si>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</si>
  <si>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</si>
  <si>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</si>
  <si>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</si>
  <si>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</si>
  <si>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</si>
  <si>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</si>
  <si>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</si>
  <si>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</si>
  <si>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</si>
  <si>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</si>
  <si>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</si>
  <si>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</si>
  <si>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</si>
  <si>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</si>
  <si>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</si>
  <si>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</si>
  <si>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</si>
  <si>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</si>
  <si>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</si>
  <si>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</si>
  <si>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</si>
  <si>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</si>
  <si>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</si>
  <si>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</si>
  <si>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</si>
  <si>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</si>
  <si>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</si>
  <si>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</si>
  <si>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</si>
  <si>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</si>
  <si>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</si>
  <si>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</si>
  <si>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</si>
  <si>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</si>
  <si>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</si>
  <si>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</si>
  <si>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</si>
  <si>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</si>
  <si>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</si>
  <si>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</si>
  <si>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</si>
  <si>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</si>
  <si>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</si>
  <si>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</si>
  <si>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</si>
  <si>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</si>
  <si>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</si>
  <si>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</si>
  <si>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</si>
  <si>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</si>
  <si>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</si>
  <si>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</si>
  <si>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</si>
  <si>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</si>
  <si>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</si>
  <si>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</si>
  <si>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</si>
  <si>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</si>
  <si>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</si>
  <si>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</si>
  <si>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</si>
  <si>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</si>
  <si>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</si>
  <si>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</si>
  <si>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</si>
  <si>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</si>
  <si>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</si>
  <si>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</si>
  <si>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</si>
  <si>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</si>
  <si>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</si>
  <si>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</si>
  <si>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</si>
  <si>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</si>
  <si>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</si>
  <si>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</si>
  <si>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</si>
  <si>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</si>
  <si>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</si>
  <si>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</si>
  <si>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</si>
  <si>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</si>
  <si>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</si>
  <si>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</si>
  <si>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</si>
  <si>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</si>
  <si>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</si>
  <si>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</si>
  <si>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</si>
  <si>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</si>
  <si>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</si>
  <si>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</si>
  <si>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</si>
  <si>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</si>
  <si>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</si>
  <si>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</si>
  <si>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</si>
  <si>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</si>
  <si>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</si>
  <si>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</si>
  <si>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</si>
  <si>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</si>
  <si>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</si>
  <si>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</si>
  <si>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</si>
  <si>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</si>
  <si>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</si>
  <si>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</si>
  <si>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</si>
  <si>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</si>
  <si>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</si>
  <si>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</si>
  <si>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bill_id</t>
  </si>
  <si>
    <t>bill_date</t>
  </si>
  <si>
    <t>amount</t>
  </si>
  <si>
    <t>payment_method</t>
  </si>
  <si>
    <t>payment_status</t>
  </si>
  <si>
    <t>B001</t>
  </si>
  <si>
    <t>Insurance</t>
  </si>
  <si>
    <t>Pending</t>
  </si>
  <si>
    <t>B002</t>
  </si>
  <si>
    <t>Paid</t>
  </si>
  <si>
    <t>B003</t>
  </si>
  <si>
    <t>B004</t>
  </si>
  <si>
    <t>Failed</t>
  </si>
  <si>
    <t>B005</t>
  </si>
  <si>
    <t>Credit Card</t>
  </si>
  <si>
    <t>B006</t>
  </si>
  <si>
    <t>B007</t>
  </si>
  <si>
    <t>Cash</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</si>
  <si>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</si>
  <si>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</si>
  <si>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</si>
  <si>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</si>
  <si>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</si>
  <si>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</si>
  <si>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</si>
  <si>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</si>
  <si>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</si>
  <si>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</si>
  <si>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</si>
  <si>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</si>
  <si>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</si>
  <si>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</si>
  <si>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</si>
  <si>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</si>
  <si>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</si>
  <si>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</si>
  <si>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</si>
  <si>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</si>
  <si>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</si>
  <si>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</si>
  <si>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</si>
  <si>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</si>
  <si>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</si>
  <si>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</si>
  <si>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</si>
  <si>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</si>
  <si>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</si>
  <si>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</si>
  <si>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</si>
  <si>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</si>
  <si>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</si>
  <si>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</si>
  <si>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</si>
  <si>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</si>
  <si>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</si>
  <si>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</si>
  <si>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</si>
  <si>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</si>
  <si>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</si>
  <si>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</si>
  <si>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</si>
  <si>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</si>
  <si>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</si>
  <si>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</si>
  <si>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</si>
  <si>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</si>
  <si>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</si>
  <si>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</si>
  <si>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</si>
  <si>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</si>
  <si>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</si>
  <si>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</si>
  <si>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</si>
  <si>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</si>
  <si>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</si>
  <si>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</si>
  <si>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</si>
  <si>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</si>
  <si>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</si>
  <si>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</si>
  <si>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</si>
  <si>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</si>
  <si>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</si>
  <si>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</si>
  <si>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</si>
  <si>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</si>
  <si>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</si>
  <si>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</si>
  <si>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</si>
  <si>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</si>
  <si>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</si>
  <si>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</si>
  <si>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</si>
  <si>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</si>
  <si>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</si>
  <si>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</si>
  <si>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</si>
  <si>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</si>
  <si>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</si>
  <si>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</si>
  <si>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</si>
  <si>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</si>
  <si>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</si>
  <si>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</si>
  <si>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</si>
  <si>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</si>
  <si>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</si>
  <si>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</si>
  <si>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</si>
  <si>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</si>
  <si>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</si>
  <si>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</si>
  <si>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</si>
  <si>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</si>
  <si>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</si>
  <si>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</si>
  <si>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</si>
  <si>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</si>
  <si>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</si>
  <si>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</si>
  <si>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</si>
  <si>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</si>
  <si>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</si>
  <si>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</si>
  <si>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</si>
  <si>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</si>
  <si>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</si>
  <si>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</si>
  <si>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</si>
  <si>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</si>
  <si>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</si>
  <si>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</si>
  <si>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</si>
  <si>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</si>
  <si>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</si>
  <si>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</si>
  <si>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</si>
  <si>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</si>
  <si>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</si>
  <si>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</si>
  <si>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</si>
  <si>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</si>
  <si>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</si>
  <si>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</si>
  <si>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</si>
  <si>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</si>
  <si>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</si>
  <si>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</si>
  <si>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</si>
  <si>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</si>
  <si>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</si>
  <si>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</si>
  <si>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</si>
  <si>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</si>
  <si>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</si>
  <si>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</si>
  <si>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</si>
  <si>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</si>
  <si>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</si>
  <si>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</si>
  <si>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</si>
  <si>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</si>
  <si>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</si>
  <si>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</si>
  <si>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</si>
  <si>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</si>
  <si>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</si>
  <si>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</si>
  <si>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</si>
  <si>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</si>
  <si>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</si>
  <si>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</si>
  <si>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</si>
  <si>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</si>
  <si>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</si>
  <si>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</si>
  <si>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</si>
  <si>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</si>
  <si>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</si>
  <si>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</si>
  <si>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</si>
  <si>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</si>
  <si>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</si>
  <si>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</si>
  <si>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</si>
  <si>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</si>
  <si>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</si>
  <si>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</si>
  <si>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</si>
  <si>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</si>
  <si>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</si>
  <si>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</si>
  <si>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</si>
  <si>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</si>
  <si>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</si>
  <si>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</si>
  <si>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</si>
  <si>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</si>
  <si>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</si>
  <si>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</si>
  <si>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</si>
  <si>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</si>
  <si>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</si>
  <si>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</si>
  <si>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</si>
  <si>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</si>
  <si>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</si>
  <si>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</si>
  <si>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</si>
  <si>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</si>
  <si>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</si>
  <si>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NAME</t>
  </si>
  <si>
    <t>GENDER</t>
  </si>
  <si>
    <t>DATE OF BIRTH</t>
  </si>
  <si>
    <t>CONTACT NUMBER</t>
  </si>
  <si>
    <t>ADDRESS</t>
  </si>
  <si>
    <t>REGISTRATION DATE</t>
  </si>
  <si>
    <t>PATIENT EMAIL</t>
  </si>
  <si>
    <t>DOCTOR NAME</t>
  </si>
  <si>
    <t>SPECIALIZATION</t>
  </si>
  <si>
    <t>PHONE NUMBER</t>
  </si>
  <si>
    <t>HOSPITAL BRANCH</t>
  </si>
  <si>
    <t>SI.NO</t>
  </si>
  <si>
    <t>CHANGE MADE</t>
  </si>
  <si>
    <t>DESCRIPTION</t>
  </si>
  <si>
    <t>combined data</t>
  </si>
  <si>
    <t>patients,appointments,doctors,treatment and billing data were</t>
  </si>
  <si>
    <t>combined into one master dataset</t>
  </si>
  <si>
    <t>Added patient full name</t>
  </si>
  <si>
    <t>combined first name and last nameto create patient full name</t>
  </si>
  <si>
    <t>Added patient details</t>
  </si>
  <si>
    <t xml:space="preserve">gender,date of birth,contact no,addres,registration,data and </t>
  </si>
  <si>
    <t>email were added using patient id.</t>
  </si>
  <si>
    <t>used vlookup</t>
  </si>
  <si>
    <t>used vlookup to retrieve patient information based on patient id.</t>
  </si>
  <si>
    <t>Added appointment details</t>
  </si>
  <si>
    <t xml:space="preserve">appointment-related to information was linked using </t>
  </si>
  <si>
    <t>appointment id.</t>
  </si>
  <si>
    <t>doctor information was linked using doctor id</t>
  </si>
  <si>
    <t>Added doctor details</t>
  </si>
  <si>
    <t>Added treatment details</t>
  </si>
  <si>
    <t>treatment informations was linked using treatment id.</t>
  </si>
  <si>
    <t>Added billing details</t>
  </si>
  <si>
    <t xml:space="preserve">billing and payment informations was linked with the relevent </t>
  </si>
  <si>
    <t>records</t>
  </si>
  <si>
    <t>checked missing /error values</t>
  </si>
  <si>
    <t xml:space="preserve">cheaked lookup results and corrected #value!/unmatched </t>
  </si>
  <si>
    <t>records where required.</t>
  </si>
  <si>
    <t>created master dataset</t>
  </si>
  <si>
    <t xml:space="preserve">prepared a consolidated hospital management dataset for </t>
  </si>
  <si>
    <t>further analysis and excel reporting</t>
  </si>
  <si>
    <t>how many appointments were recorded</t>
  </si>
  <si>
    <t>what percentages of appiontments were no-shows</t>
  </si>
  <si>
    <t xml:space="preserve">what is the appointment completion rate </t>
  </si>
  <si>
    <t>what is the total billing amount</t>
  </si>
  <si>
    <t>how much of the billing amount has been paid</t>
  </si>
  <si>
    <t>what percentage of the total billing amount has been paid</t>
  </si>
  <si>
    <t>what is the average treatment cost</t>
  </si>
  <si>
    <t>which treatment generate the hightest total treatment cost</t>
  </si>
  <si>
    <t>what is the distribution of appointment by status ?</t>
  </si>
  <si>
    <t>how does appointment status differ by specialization?</t>
  </si>
  <si>
    <t>which doctor handle the hightest number of appointments</t>
  </si>
  <si>
    <t>how do appointment statusses vary across hospital branches?</t>
  </si>
  <si>
    <t>which treatment type generate the hightest total billing amount?</t>
  </si>
  <si>
    <t>how does total billing change over time ?</t>
  </si>
  <si>
    <t>Row Labels</t>
  </si>
  <si>
    <t>Grand Total</t>
  </si>
  <si>
    <t>Count of appointment_id</t>
  </si>
  <si>
    <t>Sum of cost</t>
  </si>
  <si>
    <t>Sum of amount</t>
  </si>
  <si>
    <t>Average of cost</t>
  </si>
  <si>
    <t>CHEMOTHERAPHY-128855.68</t>
  </si>
  <si>
    <t>HOSPITAL MANAGEMENT DASHBOARD</t>
  </si>
  <si>
    <t>INSIGHTS</t>
  </si>
  <si>
    <t>RECOMMENDATIONS</t>
  </si>
  <si>
    <r>
      <t xml:space="preserve">Only </t>
    </r>
    <r>
      <rPr>
        <b/>
        <sz val="11"/>
        <color theme="1"/>
        <rFont val="Aptos Narrow"/>
        <family val="2"/>
        <scheme val="minor"/>
      </rPr>
      <t>23%</t>
    </r>
    <r>
      <rPr>
        <sz val="11"/>
        <color theme="1"/>
        <rFont val="Aptos Narrow"/>
        <family val="2"/>
        <scheme val="minor"/>
      </rPr>
      <t xml:space="preserve"> of appointments are completed.</t>
    </r>
  </si>
  <si>
    <r>
      <t>26%</t>
    </r>
    <r>
      <rPr>
        <sz val="11"/>
        <color theme="1"/>
        <rFont val="Aptos Narrow"/>
        <family val="2"/>
        <scheme val="minor"/>
      </rPr>
      <t xml:space="preserve"> of appointments are no-shows.</t>
    </r>
  </si>
  <si>
    <r>
      <t>Central Hospital</t>
    </r>
    <r>
      <rPr>
        <sz val="11"/>
        <color theme="1"/>
        <rFont val="Aptos Narrow"/>
        <family val="2"/>
        <scheme val="minor"/>
      </rPr>
      <t xml:space="preserve"> has the most appointments (</t>
    </r>
    <r>
      <rPr>
        <b/>
        <sz val="11"/>
        <color theme="1"/>
        <rFont val="Aptos Narrow"/>
        <family val="2"/>
        <scheme val="minor"/>
      </rPr>
      <t>84</t>
    </r>
    <r>
      <rPr>
        <sz val="11"/>
        <color theme="1"/>
        <rFont val="Aptos Narrow"/>
        <family val="2"/>
        <scheme val="minor"/>
      </rPr>
      <t>).</t>
    </r>
  </si>
  <si>
    <r>
      <t>Pediatrics</t>
    </r>
    <r>
      <rPr>
        <sz val="11"/>
        <color theme="1"/>
        <rFont val="Aptos Narrow"/>
        <family val="2"/>
        <scheme val="minor"/>
      </rPr>
      <t xml:space="preserve"> has the most appointments (</t>
    </r>
    <r>
      <rPr>
        <b/>
        <sz val="11"/>
        <color theme="1"/>
        <rFont val="Aptos Narrow"/>
        <family val="2"/>
        <scheme val="minor"/>
      </rPr>
      <t>98</t>
    </r>
    <r>
      <rPr>
        <sz val="11"/>
        <color theme="1"/>
        <rFont val="Aptos Narrow"/>
        <family val="2"/>
        <scheme val="minor"/>
      </rPr>
      <t>).</t>
    </r>
  </si>
  <si>
    <r>
      <t>Dr. Sarah Taylor</t>
    </r>
    <r>
      <rPr>
        <sz val="11"/>
        <color theme="1"/>
        <rFont val="Aptos Narrow"/>
        <family val="2"/>
        <scheme val="minor"/>
      </rPr>
      <t xml:space="preserve"> handles the most appointments (</t>
    </r>
    <r>
      <rPr>
        <b/>
        <sz val="11"/>
        <color theme="1"/>
        <rFont val="Aptos Narrow"/>
        <family val="2"/>
        <scheme val="minor"/>
      </rPr>
      <t>29</t>
    </r>
    <r>
      <rPr>
        <sz val="11"/>
        <color theme="1"/>
        <rFont val="Aptos Narrow"/>
        <family val="2"/>
        <scheme val="minor"/>
      </rPr>
      <t>).</t>
    </r>
  </si>
  <si>
    <r>
      <t>Chemotherapy</t>
    </r>
    <r>
      <rPr>
        <sz val="11"/>
        <color theme="1"/>
        <rFont val="Aptos Narrow"/>
        <family val="2"/>
        <scheme val="minor"/>
      </rPr>
      <t xml:space="preserve"> generates the highest total billing.</t>
    </r>
  </si>
  <si>
    <r>
      <t>Westside Clinic</t>
    </r>
    <r>
      <rPr>
        <sz val="11"/>
        <color theme="1"/>
        <rFont val="Aptos Narrow"/>
        <family val="2"/>
        <scheme val="minor"/>
      </rPr>
      <t xml:space="preserve"> has the highest average treatment cost.</t>
    </r>
  </si>
  <si>
    <r>
      <t>Cash</t>
    </r>
    <r>
      <rPr>
        <sz val="11"/>
        <color theme="1"/>
        <rFont val="Aptos Narrow"/>
        <family val="2"/>
        <scheme val="minor"/>
      </rPr>
      <t xml:space="preserve"> is the most used payment method.</t>
    </r>
  </si>
  <si>
    <r>
      <t xml:space="preserve">Many </t>
    </r>
    <r>
      <rPr>
        <b/>
        <sz val="11"/>
        <color theme="1"/>
        <rFont val="Aptos Narrow"/>
        <family val="2"/>
        <scheme val="minor"/>
      </rPr>
      <t>card and insurance payments</t>
    </r>
    <r>
      <rPr>
        <sz val="11"/>
        <color theme="1"/>
        <rFont val="Aptos Narrow"/>
        <family val="2"/>
        <scheme val="minor"/>
      </rPr>
      <t xml:space="preserve"> are pending or failed.</t>
    </r>
  </si>
  <si>
    <r>
      <t>Checkup</t>
    </r>
    <r>
      <rPr>
        <sz val="11"/>
        <color theme="1"/>
        <rFont val="Aptos Narrow"/>
        <family val="2"/>
        <scheme val="minor"/>
      </rPr>
      <t xml:space="preserve"> is the most common reason for visits.</t>
    </r>
  </si>
  <si>
    <r>
      <t>Emergency visits</t>
    </r>
    <r>
      <rPr>
        <sz val="11"/>
        <color theme="1"/>
        <rFont val="Aptos Narrow"/>
        <family val="2"/>
        <scheme val="minor"/>
      </rPr>
      <t xml:space="preserve"> have the highest average treatment cost.</t>
    </r>
  </si>
  <si>
    <r>
      <t>48 unique patients</t>
    </r>
    <r>
      <rPr>
        <sz val="11"/>
        <color theme="1"/>
        <rFont val="Aptos Narrow"/>
        <family val="2"/>
        <scheme val="minor"/>
      </rPr>
      <t xml:space="preserve"> account for </t>
    </r>
    <r>
      <rPr>
        <b/>
        <sz val="11"/>
        <color theme="1"/>
        <rFont val="Aptos Narrow"/>
        <family val="2"/>
        <scheme val="minor"/>
      </rPr>
      <t>200 appointments</t>
    </r>
    <r>
      <rPr>
        <sz val="11"/>
        <color theme="1"/>
        <rFont val="Aptos Narrow"/>
        <family val="2"/>
        <scheme val="minor"/>
      </rPr>
      <t>.</t>
    </r>
  </si>
  <si>
    <r>
      <t xml:space="preserve">Reduce the </t>
    </r>
    <r>
      <rPr>
        <b/>
        <sz val="11"/>
        <color theme="1"/>
        <rFont val="Aptos Narrow"/>
        <family val="2"/>
        <scheme val="minor"/>
      </rPr>
      <t>no-show rate</t>
    </r>
    <r>
      <rPr>
        <sz val="11"/>
        <color theme="1"/>
        <rFont val="Aptos Narrow"/>
        <family val="2"/>
        <scheme val="minor"/>
      </rPr>
      <t xml:space="preserve"> with appointment reminders.</t>
    </r>
  </si>
  <si>
    <r>
      <t xml:space="preserve">Improve </t>
    </r>
    <r>
      <rPr>
        <b/>
        <sz val="11"/>
        <color theme="1"/>
        <rFont val="Aptos Narrow"/>
        <family val="2"/>
        <scheme val="minor"/>
      </rPr>
      <t>follow-up</t>
    </r>
    <r>
      <rPr>
        <sz val="11"/>
        <color theme="1"/>
        <rFont val="Aptos Narrow"/>
        <family val="2"/>
        <scheme val="minor"/>
      </rPr>
      <t xml:space="preserve"> to increase completed appointments.</t>
    </r>
  </si>
  <si>
    <r>
      <t xml:space="preserve">Investigate </t>
    </r>
    <r>
      <rPr>
        <b/>
        <sz val="11"/>
        <color theme="1"/>
        <rFont val="Aptos Narrow"/>
        <family val="2"/>
        <scheme val="minor"/>
      </rPr>
      <t>pending and failed payments</t>
    </r>
    <r>
      <rPr>
        <sz val="11"/>
        <color theme="1"/>
        <rFont val="Aptos Narrow"/>
        <family val="2"/>
        <scheme val="minor"/>
      </rPr>
      <t>.</t>
    </r>
  </si>
  <si>
    <r>
      <t xml:space="preserve">Improve </t>
    </r>
    <r>
      <rPr>
        <b/>
        <sz val="11"/>
        <color theme="1"/>
        <rFont val="Aptos Narrow"/>
        <family val="2"/>
        <scheme val="minor"/>
      </rPr>
      <t>card and insurance payment processing</t>
    </r>
    <r>
      <rPr>
        <sz val="11"/>
        <color theme="1"/>
        <rFont val="Aptos Narrow"/>
        <family val="2"/>
        <scheme val="minor"/>
      </rPr>
      <t>.</t>
    </r>
  </si>
  <si>
    <r>
      <t xml:space="preserve">Allocate more resources to </t>
    </r>
    <r>
      <rPr>
        <b/>
        <sz val="11"/>
        <color theme="1"/>
        <rFont val="Aptos Narrow"/>
        <family val="2"/>
        <scheme val="minor"/>
      </rPr>
      <t>Pediatrics</t>
    </r>
    <r>
      <rPr>
        <sz val="11"/>
        <color theme="1"/>
        <rFont val="Aptos Narrow"/>
        <family val="2"/>
        <scheme val="minor"/>
      </rPr>
      <t>.</t>
    </r>
  </si>
  <si>
    <r>
      <t xml:space="preserve">Review high treatment costs at </t>
    </r>
    <r>
      <rPr>
        <b/>
        <sz val="11"/>
        <color theme="1"/>
        <rFont val="Aptos Narrow"/>
        <family val="2"/>
        <scheme val="minor"/>
      </rPr>
      <t>Westside Clinic</t>
    </r>
    <r>
      <rPr>
        <sz val="11"/>
        <color theme="1"/>
        <rFont val="Aptos Narrow"/>
        <family val="2"/>
        <scheme val="minor"/>
      </rPr>
      <t>.</t>
    </r>
  </si>
  <si>
    <r>
      <t xml:space="preserve">Monitor </t>
    </r>
    <r>
      <rPr>
        <b/>
        <sz val="11"/>
        <color theme="1"/>
        <rFont val="Aptos Narrow"/>
        <family val="2"/>
        <scheme val="minor"/>
      </rPr>
      <t>Emergency treatment costs</t>
    </r>
    <r>
      <rPr>
        <sz val="11"/>
        <color theme="1"/>
        <rFont val="Aptos Narrow"/>
        <family val="2"/>
        <scheme val="minor"/>
      </rPr>
      <t>.</t>
    </r>
  </si>
  <si>
    <t>Focus on high-demand doctors and departments.</t>
  </si>
  <si>
    <t>Track appointment performance regularly.</t>
  </si>
  <si>
    <t>Improve patient scheduling and appointment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</si>
</sst>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5" x14ac:knownFonts="1">
    <font>
      <sz val="11"/>
      <color theme="1"/>
      <name val="Aptos Narrow"/>
      <family val="2"/>
      <scheme val="minor"/>
    </font>
    <font>
      <u val="double"/>
      <sz val="11"/>
      <color theme="1"/>
      <name val="Aptos Narrow"/>
      <family val="2"/>
      <scheme val="minor"/>
    </font>
    <font>
      <b/>
      <sz val="11"/>
      <color theme="1"/>
      <name val="Aptos Narrow"/>
      <family val="2"/>
      <scheme val="minor"/>
    </font>
    <font>
      <sz val="26"/>
      <color theme="1"/>
      <name val="Aptos Narrow"/>
      <family val="2"/>
      <scheme val="minor"/>
    </font>
    <font>
      <u val="double"/>
      <sz val="26"/>
      <color theme="1"/>
      <name val="Aptos Narrow"/>
      <family val="2"/>
      <scheme val="minor"/>
    </font>
  </fonts>
  <fills count="10">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164" fontId="0" fillId="0" borderId="0" xfId="0" applyNumberFormat="1"/>
    <xf numFmtId="165" fontId="0" fillId="0" borderId="0" xfId="0" applyNumberFormat="1"/>
    <xf numFmtId="0" fontId="0" fillId="2" borderId="0" xfId="0" applyFill="1" applyAlignment="1">
      <alignment horizontal="center"/>
    </xf>
    <xf numFmtId="0" fontId="0" fillId="3" borderId="0" xfId="0" applyFill="1" applyAlignment="1">
      <alignment horizontal="center"/>
    </xf>
    <xf numFmtId="0" fontId="0" fillId="3" borderId="0" xfId="0" applyFill="1"/>
    <xf numFmtId="0" fontId="0" fillId="0" borderId="0" xfId="0" applyAlignment="1">
      <alignment horizontal="center"/>
    </xf>
    <xf numFmtId="0" fontId="0" fillId="4" borderId="0" xfId="0" applyFill="1"/>
    <xf numFmtId="0" fontId="0" fillId="4" borderId="0" xfId="0" applyFill="1" applyAlignment="1">
      <alignment horizontal="center"/>
    </xf>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5" borderId="0" xfId="0" applyFill="1"/>
    <xf numFmtId="0" fontId="0" fillId="5" borderId="0" xfId="0" applyFill="1" applyAlignment="1">
      <alignment horizontal="center"/>
    </xf>
    <xf numFmtId="10" fontId="0" fillId="5" borderId="0" xfId="0" applyNumberFormat="1" applyFill="1"/>
    <xf numFmtId="165" fontId="0" fillId="5" borderId="0" xfId="0" applyNumberFormat="1" applyFill="1"/>
    <xf numFmtId="0" fontId="3" fillId="0" borderId="0" xfId="0" applyFont="1"/>
    <xf numFmtId="0" fontId="4" fillId="0" borderId="0" xfId="0" applyFont="1" applyAlignment="1"/>
    <xf numFmtId="0" fontId="0" fillId="6" borderId="0" xfId="0" applyFill="1" applyAlignment="1">
      <alignment horizontal="center"/>
    </xf>
    <xf numFmtId="0" fontId="0" fillId="7" borderId="0" xfId="0" applyFill="1"/>
    <xf numFmtId="0" fontId="2" fillId="7" borderId="0" xfId="0" applyFont="1" applyFill="1"/>
    <xf numFmtId="0" fontId="0" fillId="8" borderId="0" xfId="0" applyFill="1" applyAlignment="1">
      <alignment horizontal="center"/>
    </xf>
    <xf numFmtId="0" fontId="0" fillId="9" borderId="0" xfId="0" applyFill="1" applyAlignment="1">
      <alignment horizontal="left" vertical="center" indent="1"/>
    </xf>
    <xf numFmtId="0" fontId="0" fillId="9" borderId="0" xfId="0" applyFill="1"/>
  </cellXfs>
  <cellStyles count="1">
    <cellStyle name="Normal" xfId="0" builtinId="0"/>
  </cellStyles>
  <dxfs count="52">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9" formatCode="dd/mm/yyyy"/>
    </dxf>
    <dxf>
      <numFmt numFmtId="0" formatCode="General"/>
    </dxf>
    <dxf>
      <numFmt numFmtId="19" formatCode="dd/mm/yyyy"/>
    </dxf>
    <dxf>
      <numFmt numFmtId="165" formatCode="&quot;₹&quot;\ #,##0.00"/>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4.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APPOINTMENT!PivotTable17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APPOINTMENT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APPOINTMENT'!$B$3</c:f>
              <c:strCache>
                <c:ptCount val="1"/>
                <c:pt idx="0">
                  <c:v>Total</c:v>
                </c:pt>
              </c:strCache>
            </c:strRef>
          </c:tx>
          <c:spPr>
            <a:solidFill>
              <a:schemeClr val="accent1"/>
            </a:solidFill>
            <a:ln>
              <a:noFill/>
            </a:ln>
            <a:effectLst/>
          </c:spPr>
          <c:invertIfNegative val="0"/>
          <c:cat>
            <c:strRef>
              <c:f>'TOTAL APPOINTMENT'!$A$4:$A$8</c:f>
              <c:strCache>
                <c:ptCount val="4"/>
                <c:pt idx="0">
                  <c:v>Cancelled</c:v>
                </c:pt>
                <c:pt idx="1">
                  <c:v>Completed</c:v>
                </c:pt>
                <c:pt idx="2">
                  <c:v>No-show</c:v>
                </c:pt>
                <c:pt idx="3">
                  <c:v>Scheduled</c:v>
                </c:pt>
              </c:strCache>
            </c:strRef>
          </c:cat>
          <c:val>
            <c:numRef>
              <c:f>'TOTAL APPOINTMENT'!$B$4:$B$8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70D4-44BC-82E8-C9D7ADF60AC9}"/>
            </c:ext>
          </c:extLst>
        </c:ser>
        <c:dLbls>
          <c:showLegendKey val="0"/>
          <c:showVal val="0"/>
          <c:showCatName val="0"/>
          <c:showSerName val="0"/>
          <c:showPercent val="0"/>
          <c:showBubbleSize val="0"/>
        </c:dLbls>
        <c:gapWidth val="219"/>
        <c:overlap val="-27"/>
        <c:axId val="520989007"/>
        <c:axId val="1085063631"/>
      </c:barChart>
      <c:catAx>
        <c:axId val="52098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063631"/>
        <c:crosses val="autoZero"/>
        <c:auto val="1"/>
        <c:lblAlgn val="ctr"/>
        <c:lblOffset val="100"/>
        <c:noMultiLvlLbl val="0"/>
      </c:catAx>
      <c:valAx>
        <c:axId val="108506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(PROJECT).xlsx]NO-SHOW %!PivotTable18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a:t>
            </a:r>
            <a:r>
              <a:rPr lang="en-US" baseline="0"/>
              <a:t>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'NO-SHOW %'!$B$3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'NO-SHOW %'!$A$4:$A$8</c:f>
              <c:strCache>
                <c:ptCount val="4"/>
                <c:pt idx="0">
                  <c:v>Cancelled</c:v>
                </c:pt>
                <c:pt idx="1">
                  <c:v>Completed</c:v>
                </c:pt>
                <c:pt idx="2">
                  <c:v>No-show</c:v>
                </c:pt>
                <c:pt idx="3">
                  <c:v>Scheduled</c:v>
                </c:pt>
              </c:strCache>
            </c:strRef>
          </c:cat>
          <c:val>
            <c:numRef>
              <c:f>'NO-SHOW %'!$B$4:$B$8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7C6B-41CD-85B0-BE6C7C6999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(PROJECT).xlsx]COMPLETION RATE!PivotTable19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'COMPLETION RATE'!$B$3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'COMPLETION RATE'!$A$4:$A$8</c:f>
              <c:strCache>
                <c:ptCount val="4"/>
                <c:pt idx="0">
                  <c:v>Cancelled</c:v>
                </c:pt>
                <c:pt idx="1">
                  <c:v>Completed</c:v>
                </c:pt>
                <c:pt idx="2">
                  <c:v>No-show</c:v>
                </c:pt>
                <c:pt idx="3">
                  <c:v>Scheduled</c:v>
                </c:pt>
              </c:strCache>
            </c:strRef>
          </c:cat>
          <c:val>
            <c:numRef>
              <c:f>'COMPLETION RATE'!$B$4:$B$8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7573-4D4C-99F8-1884C4F06E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BILLING BY PAYMENT STATUS!PivotTable21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BILLING PAYMENT STATUS</a:t>
            </a:r>
            <a:endParaRPr lang="en-US"/>
          </a:p>
        </c:rich>
      </c:tx>
      <c:layout>
        <c:manualLayout>
          <c:xMode val="edge"/>
          <c:yMode val="edge"/>
          <c:x val="0.33256933508311465"/>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BILLING BY PAYMENT STATUS'!$B$3</c:f>
              <c:strCache>
                <c:ptCount val="1"/>
                <c:pt idx="0">
                  <c:v>Total</c:v>
                </c:pt>
              </c:strCache>
            </c:strRef>
          </c:tx>
          <c:spPr>
            <a:solidFill>
              <a:schemeClr val="accent1"/>
            </a:solidFill>
            <a:ln>
              <a:noFill/>
            </a:ln>
            <a:effectLst/>
          </c:spPr>
          <c:invertIfNegative val="0"/>
          <c:cat>
            <c:strRef>
              <c:f>'TOTAL BILLING BY PAYMENT STATUS'!$A$4:$A$7</c:f>
              <c:strCache>
                <c:ptCount val="3"/>
                <c:pt idx="0">
                  <c:v>Failed</c:v>
                </c:pt>
                <c:pt idx="1">
                  <c:v>Paid</c:v>
                </c:pt>
                <c:pt idx="2">
                  <c:v>Pending</c:v>
                </c:pt>
              </c:strCache>
            </c:strRef>
          </c:cat>
          <c:val>
            <c:numRef>
              <c:f>'TOTAL BILLING BY PAYMENT STATUS'!$B$4:$B$7</c:f>
              <c:numCache>
                <c:formatCode>"₹"\ #,##0.00</c:formatCode>
                <c:ptCount val="3"/>
                <c:pt idx="0">
                  <c:v>193212.94</c:v>
                </c:pt>
                <c:pt idx="1">
                  <c:v>173424.89999999994</c:v>
                </c:pt>
                <c:pt idx="2">
                  <c:v>184612.01000000004</c:v>
                </c:pt>
              </c:numCache>
            </c:numRef>
          </c:val>
          <c:extLst>
            <c:ext xmlns:c16="http://schemas.microsoft.com/office/drawing/2014/chart" uri="{C3380CC4-5D6E-409C-BE32-E72D297353CC}">
              <c16:uniqueId val="{00000000-F5EC-4D69-90FD-954D774212CD}"/>
            </c:ext>
          </c:extLst>
        </c:ser>
        <c:dLbls>
          <c:showLegendKey val="0"/>
          <c:showVal val="0"/>
          <c:showCatName val="0"/>
          <c:showSerName val="0"/>
          <c:showPercent val="0"/>
          <c:showBubbleSize val="0"/>
        </c:dLbls>
        <c:gapWidth val="182"/>
        <c:axId val="145405504"/>
        <c:axId val="171246896"/>
      </c:barChart>
      <c:valAx>
        <c:axId val="171246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05504"/>
        <c:crosses val="autoZero"/>
        <c:crossBetween val="between"/>
      </c:valAx>
      <c:catAx>
        <c:axId val="14540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46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(PROJECT).xlsx]BILLING PAYMENT STATUS!PivotTable22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BILLING PAYMENT</a:t>
            </a:r>
            <a:r>
              <a:rPr lang="en-US" baseline="0"/>
              <a:t> STATUS</a:t>
            </a:r>
            <a:r>
              <a:rPr lang="en-US"/>
              <a:t>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'BILLING PAYMENT STATUS'!$B$3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'BILLING PAYMENT STATUS'!$A$4:$A$7</c:f>
              <c:strCache>
                <c:ptCount val="3"/>
                <c:pt idx="0">
                  <c:v>Failed</c:v>
                </c:pt>
                <c:pt idx="1">
                  <c:v>Paid</c:v>
                </c:pt>
                <c:pt idx="2">
                  <c:v>Pending</c:v>
                </c:pt>
              </c:strCache>
            </c:strRef>
          </c:cat>
          <c:val>
            <c:numRef>
              <c:f>'BILLING PAYMENT STATUS'!$B$4:$B$7</c:f>
              <c:numCache>
                <c:formatCode>"₹"\ #,##0.00</c:formatCode>
                <c:ptCount val="3"/>
                <c:pt idx="0">
                  <c:v>193212.94</c:v>
                </c:pt>
                <c:pt idx="1">
                  <c:v>173424.89999999994</c:v>
                </c:pt>
                <c:pt idx="2">
                  <c:v>184612.01000000004</c:v>
                </c:pt>
              </c:numCache>
            </c:numRef>
          </c:val>
          <c:extLst>
            <c:ext xmlns:c16="http://schemas.microsoft.com/office/drawing/2014/chart" uri="{C3380CC4-5D6E-409C-BE32-E72D297353CC}">
              <c16:uniqueId val="{00000000-EF1D-4437-A87A-A137892618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(PROJECT).xlsx]PERCENTAGES OF TOTAL BILING!PivotTable23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PERCENTAGES</a:t>
            </a:r>
            <a:r>
              <a:rPr lang="en-US" baseline="0"/>
              <a:t> OF TOTAL BILLING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6791447944006996"/>
          <c:w val="0.71597222222222223"/>
          <c:h val="0.68578922426363376"/>
        </c:manualLayout>
      </c:layout>
      <c:pie3DChart>
        <c:varyColors val="1"/>
        <c:ser>
          <c:idx val="0"/>
          <c:order val="0"/>
          <c:tx>
            <c:strRef>
              <c:f>'PERCENTAGES OF TOTAL BILING'!$B$3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'PERCENTAGES OF TOTAL BILING'!$A$4:$A$7</c:f>
              <c:strCache>
                <c:ptCount val="3"/>
                <c:pt idx="0">
                  <c:v>Failed</c:v>
                </c:pt>
                <c:pt idx="1">
                  <c:v>Paid</c:v>
                </c:pt>
                <c:pt idx="2">
                  <c:v>Pending</c:v>
                </c:pt>
              </c:strCache>
            </c:strRef>
          </c:cat>
          <c:val>
            <c:numRef>
              <c:f>'PERCENTAGES OF TOTAL BILING'!$B$4:$B$7</c:f>
              <c:numCache>
                <c:formatCode>0.00%</c:formatCode>
                <c:ptCount val="3"/>
                <c:pt idx="0">
                  <c:v>0.35049975977317727</c:v>
                </c:pt>
                <c:pt idx="1">
                  <c:v>0.31460307880355876</c:v>
                </c:pt>
                <c:pt idx="2">
                  <c:v>0.33489716142326398</c:v>
                </c:pt>
              </c:numCache>
            </c:numRef>
          </c:val>
          <c:extLst>
            <c:ext xmlns:c16="http://schemas.microsoft.com/office/drawing/2014/chart" uri="{C3380CC4-5D6E-409C-BE32-E72D297353CC}">
              <c16:uniqueId val="{00000002-C24E-4CA1-B444-F2B7021F688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(PROJECT).xlsx]AVERAGE COST BY TREATMENT!PivotTable25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COST BY TREATMENT</a:t>
            </a:r>
            <a:endParaRPr lang="en-IN"/>
          </a:p>
        </c:rich>
      </c:tx>
      <c:layout>
        <c:manualLayout>
          <c:xMode val="edge"/>
          <c:yMode val="edge"/>
          <c:x val="0.28718744531933516"/>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COST BY TREATMENT'!$B$3</c:f>
              <c:strCache>
                <c:ptCount val="1"/>
                <c:pt idx="0">
                  <c:v>Total</c:v>
                </c:pt>
              </c:strCache>
            </c:strRef>
          </c:tx>
          <c:spPr>
            <a:solidFill>
              <a:schemeClr val="accent1"/>
            </a:solidFill>
            <a:ln>
              <a:noFill/>
            </a:ln>
            <a:effectLst/>
          </c:spPr>
          <c:invertIfNegative val="0"/>
          <c:cat>
            <c:strRef>
              <c:f>'AVERAGE COST BY TREATMENT'!$A$4:$A$9</c:f>
              <c:strCache>
                <c:ptCount val="5"/>
                <c:pt idx="0">
                  <c:v>Chemotherapy</c:v>
                </c:pt>
                <c:pt idx="1">
                  <c:v>ECG</c:v>
                </c:pt>
                <c:pt idx="2">
                  <c:v>MRI</c:v>
                </c:pt>
                <c:pt idx="3">
                  <c:v>Physiotherapy</c:v>
                </c:pt>
                <c:pt idx="4">
                  <c:v>X-Ray</c:v>
                </c:pt>
              </c:strCache>
            </c:strRef>
          </c:cat>
          <c:val>
            <c:numRef>
              <c:f>'AVERAGE COST BY TREATMENT'!$B$4:$B$9</c:f>
              <c:numCache>
                <c:formatCode>"₹"\ #,##0.00</c:formatCode>
                <c:ptCount val="5"/>
                <c:pt idx="0">
                  <c:v>2629.7077551020407</c:v>
                </c:pt>
                <c:pt idx="1">
                  <c:v>2532.2168421052634</c:v>
                </c:pt>
                <c:pt idx="2">
                  <c:v>3224.9488888888891</c:v>
                </c:pt>
                <c:pt idx="3">
                  <c:v>2761.6138888888891</c:v>
                </c:pt>
                <c:pt idx="4">
                  <c:v>2698.87</c:v>
                </c:pt>
              </c:numCache>
            </c:numRef>
          </c:val>
          <c:extLst>
            <c:ext xmlns:c16="http://schemas.microsoft.com/office/drawing/2014/chart" uri="{C3380CC4-5D6E-409C-BE32-E72D297353CC}">
              <c16:uniqueId val="{00000000-6D9F-4937-97B6-8E8EFA559CB1}"/>
            </c:ext>
          </c:extLst>
        </c:ser>
        <c:dLbls>
          <c:showLegendKey val="0"/>
          <c:showVal val="0"/>
          <c:showCatName val="0"/>
          <c:showSerName val="0"/>
          <c:showPercent val="0"/>
          <c:showBubbleSize val="0"/>
        </c:dLbls>
        <c:gapWidth val="182"/>
        <c:axId val="179450976"/>
        <c:axId val="413713071"/>
      </c:barChart>
      <c:catAx>
        <c:axId val="17945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3071"/>
        <c:crosses val="autoZero"/>
        <c:auto val="1"/>
        <c:lblAlgn val="ctr"/>
        <c:lblOffset val="100"/>
        <c:noMultiLvlLbl val="0"/>
      </c:catAx>
      <c:valAx>
        <c:axId val="4137130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TREATMENT COST BY TREATME!PivotTable27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TREATMENT COST BY TREATMENT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TREATMENT COST BY TREATME'!$B$3</c:f>
              <c:strCache>
                <c:ptCount val="1"/>
                <c:pt idx="0">
                  <c:v>Total</c:v>
                </c:pt>
              </c:strCache>
            </c:strRef>
          </c:tx>
          <c:spPr>
            <a:solidFill>
              <a:schemeClr val="accent1"/>
            </a:solidFill>
            <a:ln>
              <a:noFill/>
            </a:ln>
            <a:effectLst/>
          </c:spPr>
          <c:invertIfNegative val="0"/>
          <c:cat>
            <c:strRef>
              <c:f>'TOTAL TREATMENT COST BY TREATME'!$A$4:$A$9</c:f>
              <c:strCache>
                <c:ptCount val="5"/>
                <c:pt idx="0">
                  <c:v>Chemotherapy</c:v>
                </c:pt>
                <c:pt idx="1">
                  <c:v>MRI</c:v>
                </c:pt>
                <c:pt idx="2">
                  <c:v>X-Ray</c:v>
                </c:pt>
                <c:pt idx="3">
                  <c:v>Physiotherapy</c:v>
                </c:pt>
                <c:pt idx="4">
                  <c:v>ECG</c:v>
                </c:pt>
              </c:strCache>
            </c:strRef>
          </c:cat>
          <c:val>
            <c:numRef>
              <c:f>'TOTAL TREATMENT COST BY TREATME'!$B$4:$B$9</c:f>
              <c:numCache>
                <c:formatCode>General</c:formatCode>
                <c:ptCount val="5"/>
                <c:pt idx="0">
                  <c:v>128855.67999999999</c:v>
                </c:pt>
                <c:pt idx="1">
                  <c:v>116098.16</c:v>
                </c:pt>
                <c:pt idx="2">
                  <c:v>110653.67</c:v>
                </c:pt>
                <c:pt idx="3">
                  <c:v>99418.1</c:v>
                </c:pt>
                <c:pt idx="4">
                  <c:v>96224.24</c:v>
                </c:pt>
              </c:numCache>
            </c:numRef>
          </c:val>
          <c:extLst>
            <c:ext xmlns:c16="http://schemas.microsoft.com/office/drawing/2014/chart" uri="{C3380CC4-5D6E-409C-BE32-E72D297353CC}">
              <c16:uniqueId val="{00000000-1425-4561-8C8B-8071E0D710B6}"/>
            </c:ext>
          </c:extLst>
        </c:ser>
        <c:dLbls>
          <c:showLegendKey val="0"/>
          <c:showVal val="0"/>
          <c:showCatName val="0"/>
          <c:showSerName val="0"/>
          <c:showPercent val="0"/>
          <c:showBubbleSize val="0"/>
        </c:dLbls>
        <c:gapWidth val="219"/>
        <c:overlap val="-27"/>
        <c:axId val="219303824"/>
        <c:axId val="413804271"/>
      </c:barChart>
      <c:catAx>
        <c:axId val="2193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804271"/>
        <c:crosses val="autoZero"/>
        <c:auto val="1"/>
        <c:lblAlgn val="ctr"/>
        <c:lblOffset val="100"/>
        <c:noMultiLvlLbl val="0"/>
      </c:catAx>
      <c:valAx>
        <c:axId val="41380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APPOINTMENT!PivotTable17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APPOINTMENT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APPOINTMENT'!$B$3</c:f>
              <c:strCache>
                <c:ptCount val="1"/>
                <c:pt idx="0">
                  <c:v>Total</c:v>
                </c:pt>
              </c:strCache>
            </c:strRef>
          </c:tx>
          <c:spPr>
            <a:solidFill>
              <a:schemeClr val="accent1"/>
            </a:solidFill>
            <a:ln>
              <a:noFill/>
            </a:ln>
            <a:effectLst/>
          </c:spPr>
          <c:invertIfNegative val="0"/>
          <c:cat>
            <c:strRef>
              <c:f>'TOTAL APPOINTMENT'!$A$4:$A$8</c:f>
              <c:strCache>
                <c:ptCount val="4"/>
                <c:pt idx="0">
                  <c:v>Cancelled</c:v>
                </c:pt>
                <c:pt idx="1">
                  <c:v>Completed</c:v>
                </c:pt>
                <c:pt idx="2">
                  <c:v>No-show</c:v>
                </c:pt>
                <c:pt idx="3">
                  <c:v>Scheduled</c:v>
                </c:pt>
              </c:strCache>
            </c:strRef>
          </c:cat>
          <c:val>
            <c:numRef>
              <c:f>'TOTAL APPOINTMENT'!$B$4:$B$8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6C6C-4F2B-9CD3-3066CE60ECB2}"/>
            </c:ext>
          </c:extLst>
        </c:ser>
        <c:dLbls>
          <c:showLegendKey val="0"/>
          <c:showVal val="0"/>
          <c:showCatName val="0"/>
          <c:showSerName val="0"/>
          <c:showPercent val="0"/>
          <c:showBubbleSize val="0"/>
        </c:dLbls>
        <c:gapWidth val="219"/>
        <c:overlap val="-27"/>
        <c:axId val="520989007"/>
        <c:axId val="1085063631"/>
      </c:barChart>
      <c:catAx>
        <c:axId val="52098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063631"/>
        <c:crosses val="autoZero"/>
        <c:auto val="1"/>
        <c:lblAlgn val="ctr"/>
        <c:lblOffset val="100"/>
        <c:noMultiLvlLbl val="0"/>
      </c:catAx>
      <c:valAx>
        <c:axId val="108506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(PROJECT).xlsx]NO-SHOW %!PivotTable18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a:t>
            </a:r>
            <a:r>
              <a:rPr lang="en-US" baseline="0"/>
              <a:t> STATUS DISTRIBUTION</a:t>
            </a:r>
            <a:endParaRPr lang="en-US"/>
          </a:p>
        </c:rich>
      </c:tx>
      <c:layout>
        <c:manualLayout>
          <c:xMode val="edge"/>
          <c:yMode val="edge"/>
          <c:x val="0.17481233595800519"/>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'NO-SHOW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2A-4004-A218-CB973EE2E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2A-4004-A218-CB973EE2E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2A-4004-A218-CB973EE2EC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2A-4004-A218-CB973EE2EC14}"/>
              </c:ext>
            </c:extLst>
          </c:dPt>
          <c:cat>
            <c:strRef>
              <c:f>'NO-SHOW %'!$A$4:$A$8</c:f>
              <c:strCache>
                <c:ptCount val="4"/>
                <c:pt idx="0">
                  <c:v>Cancelled</c:v>
                </c:pt>
                <c:pt idx="1">
                  <c:v>Completed</c:v>
                </c:pt>
                <c:pt idx="2">
                  <c:v>No-show</c:v>
                </c:pt>
                <c:pt idx="3">
                  <c:v>Scheduled</c:v>
                </c:pt>
              </c:strCache>
            </c:strRef>
          </c:cat>
          <c:val>
            <c:numRef>
              <c:f>'NO-SHOW %'!$B$4:$B$8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8-CC2A-4004-A218-CB973EE2EC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(PROJECT).xlsx]COMPLETION RATE!PivotTable19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'COMPLETION RATE'!$B$3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26-4B47-A575-A271108AC4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26-4B47-A575-A271108AC4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26-4B47-A575-A271108AC4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26-4B47-A575-A271108AC404}"/>
              </c:ext>
            </c:extLst>
          </c:dPt>
          <c:cat>
            <c:strRef>
              <c:f>'COMPLETION RATE'!$A$4:$A$8</c:f>
              <c:strCache>
                <c:ptCount val="4"/>
                <c:pt idx="0">
                  <c:v>Cancelled</c:v>
                </c:pt>
                <c:pt idx="1">
                  <c:v>Completed</c:v>
                </c:pt>
                <c:pt idx="2">
                  <c:v>No-show</c:v>
                </c:pt>
                <c:pt idx="3">
                  <c:v>Scheduled</c:v>
                </c:pt>
              </c:strCache>
            </c:strRef>
          </c:cat>
          <c:val>
            <c:numRef>
              <c:f>'COMPLETION RATE'!$B$4:$B$8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8-F626-4B47-A575-A271108AC4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BILLING BY PAYMENT STATUS!PivotTable21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BILLING PAYMENT STATUS</a:t>
            </a:r>
            <a:endParaRPr lang="en-US"/>
          </a:p>
        </c:rich>
      </c:tx>
      <c:layout>
        <c:manualLayout>
          <c:xMode val="edge"/>
          <c:yMode val="edge"/>
          <c:x val="0.33256933508311465"/>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BILLING BY PAYMENT STATUS'!$B$3</c:f>
              <c:strCache>
                <c:ptCount val="1"/>
                <c:pt idx="0">
                  <c:v>Total</c:v>
                </c:pt>
              </c:strCache>
            </c:strRef>
          </c:tx>
          <c:spPr>
            <a:solidFill>
              <a:schemeClr val="accent1"/>
            </a:solidFill>
            <a:ln>
              <a:noFill/>
            </a:ln>
            <a:effectLst/>
          </c:spPr>
          <c:invertIfNegative val="0"/>
          <c:cat>
            <c:strRef>
              <c:f>'TOTAL BILLING BY PAYMENT STATUS'!$A$4:$A$7</c:f>
              <c:strCache>
                <c:ptCount val="3"/>
                <c:pt idx="0">
                  <c:v>Failed</c:v>
                </c:pt>
                <c:pt idx="1">
                  <c:v>Paid</c:v>
                </c:pt>
                <c:pt idx="2">
                  <c:v>Pending</c:v>
                </c:pt>
              </c:strCache>
            </c:strRef>
          </c:cat>
          <c:val>
            <c:numRef>
              <c:f>'TOTAL BILLING BY PAYMENT STATUS'!$B$4:$B$7</c:f>
              <c:numCache>
                <c:formatCode>"₹"\ #,##0.00</c:formatCode>
                <c:ptCount val="3"/>
                <c:pt idx="0">
                  <c:v>193212.94</c:v>
                </c:pt>
                <c:pt idx="1">
                  <c:v>173424.89999999994</c:v>
                </c:pt>
                <c:pt idx="2">
                  <c:v>184612.01000000004</c:v>
                </c:pt>
              </c:numCache>
            </c:numRef>
          </c:val>
          <c:extLst>
            <c:ext xmlns:c16="http://schemas.microsoft.com/office/drawing/2014/chart" uri="{C3380CC4-5D6E-409C-BE32-E72D297353CC}">
              <c16:uniqueId val="{00000000-55D3-46FE-9AEA-245CABFA62A9}"/>
            </c:ext>
          </c:extLst>
        </c:ser>
        <c:dLbls>
          <c:showLegendKey val="0"/>
          <c:showVal val="0"/>
          <c:showCatName val="0"/>
          <c:showSerName val="0"/>
          <c:showPercent val="0"/>
          <c:showBubbleSize val="0"/>
        </c:dLbls>
        <c:gapWidth val="182"/>
        <c:axId val="145405504"/>
        <c:axId val="171246896"/>
      </c:barChart>
      <c:valAx>
        <c:axId val="171246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05504"/>
        <c:crosses val="autoZero"/>
        <c:crossBetween val="between"/>
      </c:valAx>
      <c:catAx>
        <c:axId val="14540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46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(PROJECT).xlsx]PERCENTAGES OF TOTAL BILING!PivotTable23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PERCENTAGES</a:t>
            </a:r>
            <a:r>
              <a:rPr lang="en-US" baseline="0"/>
              <a:t> OF TOTAL BILLING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6791447944006996"/>
          <c:w val="0.71597222222222223"/>
          <c:h val="0.68578922426363376"/>
        </c:manualLayout>
      </c:layout>
      <c:pie3DChart>
        <c:varyColors val="1"/>
        <c:ser>
          <c:idx val="0"/>
          <c:order val="0"/>
          <c:tx>
            <c:strRef>
              <c:f>'PERCENTAGES OF TOTAL BILING'!$B$3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91-41DF-A86C-BB6E4E249A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91-41DF-A86C-BB6E4E249AF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F91-41DF-A86C-BB6E4E249AF7}"/>
              </c:ext>
            </c:extLst>
          </c:dPt>
          <c:cat>
            <c:strRef>
              <c:f>'PERCENTAGES OF TOTAL BILING'!$A$4:$A$7</c:f>
              <c:strCache>
                <c:ptCount val="3"/>
                <c:pt idx="0">
                  <c:v>Failed</c:v>
                </c:pt>
                <c:pt idx="1">
                  <c:v>Paid</c:v>
                </c:pt>
                <c:pt idx="2">
                  <c:v>Pending</c:v>
                </c:pt>
              </c:strCache>
            </c:strRef>
          </c:cat>
          <c:val>
            <c:numRef>
              <c:f>'PERCENTAGES OF TOTAL BILING'!$B$4:$B$7</c:f>
              <c:numCache>
                <c:formatCode>0.00%</c:formatCode>
                <c:ptCount val="3"/>
                <c:pt idx="0">
                  <c:v>0.35049975977317727</c:v>
                </c:pt>
                <c:pt idx="1">
                  <c:v>0.31460307880355876</c:v>
                </c:pt>
                <c:pt idx="2">
                  <c:v>0.33489716142326398</c:v>
                </c:pt>
              </c:numCache>
            </c:numRef>
          </c:val>
          <c:extLst>
            <c:ext xmlns:c16="http://schemas.microsoft.com/office/drawing/2014/chart" uri="{C3380CC4-5D6E-409C-BE32-E72D297353CC}">
              <c16:uniqueId val="{00000006-CF91-41DF-A86C-BB6E4E249AF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(PROJECT).xlsx]AVERAGE COST BY TREATMENT!PivotTable25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COST BY TREATMENT</a:t>
            </a:r>
            <a:endParaRPr lang="en-IN"/>
          </a:p>
        </c:rich>
      </c:tx>
      <c:layout>
        <c:manualLayout>
          <c:xMode val="edge"/>
          <c:yMode val="edge"/>
          <c:x val="0.3066318897637795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COST BY TREATMENT'!$B$3</c:f>
              <c:strCache>
                <c:ptCount val="1"/>
                <c:pt idx="0">
                  <c:v>Total</c:v>
                </c:pt>
              </c:strCache>
            </c:strRef>
          </c:tx>
          <c:spPr>
            <a:solidFill>
              <a:schemeClr val="accent1"/>
            </a:solidFill>
            <a:ln>
              <a:noFill/>
            </a:ln>
            <a:effectLst/>
          </c:spPr>
          <c:invertIfNegative val="0"/>
          <c:cat>
            <c:strRef>
              <c:f>'AVERAGE COST BY TREATMENT'!$A$4:$A$9</c:f>
              <c:strCache>
                <c:ptCount val="5"/>
                <c:pt idx="0">
                  <c:v>Chemotherapy</c:v>
                </c:pt>
                <c:pt idx="1">
                  <c:v>ECG</c:v>
                </c:pt>
                <c:pt idx="2">
                  <c:v>MRI</c:v>
                </c:pt>
                <c:pt idx="3">
                  <c:v>Physiotherapy</c:v>
                </c:pt>
                <c:pt idx="4">
                  <c:v>X-Ray</c:v>
                </c:pt>
              </c:strCache>
            </c:strRef>
          </c:cat>
          <c:val>
            <c:numRef>
              <c:f>'AVERAGE COST BY TREATMENT'!$B$4:$B$9</c:f>
              <c:numCache>
                <c:formatCode>"₹"\ #,##0.00</c:formatCode>
                <c:ptCount val="5"/>
                <c:pt idx="0">
                  <c:v>2629.7077551020407</c:v>
                </c:pt>
                <c:pt idx="1">
                  <c:v>2532.2168421052634</c:v>
                </c:pt>
                <c:pt idx="2">
                  <c:v>3224.9488888888891</c:v>
                </c:pt>
                <c:pt idx="3">
                  <c:v>2761.6138888888891</c:v>
                </c:pt>
                <c:pt idx="4">
                  <c:v>2698.87</c:v>
                </c:pt>
              </c:numCache>
            </c:numRef>
          </c:val>
          <c:extLst>
            <c:ext xmlns:c16="http://schemas.microsoft.com/office/drawing/2014/chart" uri="{C3380CC4-5D6E-409C-BE32-E72D297353CC}">
              <c16:uniqueId val="{00000000-4E45-42B3-A897-B08E074C0BAA}"/>
            </c:ext>
          </c:extLst>
        </c:ser>
        <c:dLbls>
          <c:showLegendKey val="0"/>
          <c:showVal val="0"/>
          <c:showCatName val="0"/>
          <c:showSerName val="0"/>
          <c:showPercent val="0"/>
          <c:showBubbleSize val="0"/>
        </c:dLbls>
        <c:gapWidth val="182"/>
        <c:axId val="179450976"/>
        <c:axId val="413713071"/>
      </c:barChart>
      <c:catAx>
        <c:axId val="17945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3071"/>
        <c:crosses val="autoZero"/>
        <c:auto val="1"/>
        <c:lblAlgn val="ctr"/>
        <c:lblOffset val="100"/>
        <c:noMultiLvlLbl val="0"/>
      </c:catAx>
      <c:valAx>
        <c:axId val="4137130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TREATMENT COST BY TREATME!PivotTable27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TREATMENT COST BY TREATMENT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0735542115207"/>
          <c:y val="0.34661818314377363"/>
          <c:w val="0.69642233126656272"/>
          <c:h val="0.3783931175269758"/>
        </c:manualLayout>
      </c:layout>
      <c:barChart>
        <c:barDir val="col"/>
        <c:grouping val="clustered"/>
        <c:varyColors val="0"/>
        <c:ser>
          <c:idx val="0"/>
          <c:order val="0"/>
          <c:tx>
            <c:strRef>
              <c:f>'TOTAL TREATMENT COST BY TREATME'!$B$3</c:f>
              <c:strCache>
                <c:ptCount val="1"/>
                <c:pt idx="0">
                  <c:v>Total</c:v>
                </c:pt>
              </c:strCache>
            </c:strRef>
          </c:tx>
          <c:spPr>
            <a:solidFill>
              <a:schemeClr val="accent1"/>
            </a:solidFill>
            <a:ln>
              <a:noFill/>
            </a:ln>
            <a:effectLst/>
          </c:spPr>
          <c:invertIfNegative val="0"/>
          <c:cat>
            <c:strRef>
              <c:f>'TOTAL TREATMENT COST BY TREATME'!$A$4:$A$9</c:f>
              <c:strCache>
                <c:ptCount val="5"/>
                <c:pt idx="0">
                  <c:v>Chemotherapy</c:v>
                </c:pt>
                <c:pt idx="1">
                  <c:v>MRI</c:v>
                </c:pt>
                <c:pt idx="2">
                  <c:v>X-Ray</c:v>
                </c:pt>
                <c:pt idx="3">
                  <c:v>Physiotherapy</c:v>
                </c:pt>
                <c:pt idx="4">
                  <c:v>ECG</c:v>
                </c:pt>
              </c:strCache>
            </c:strRef>
          </c:cat>
          <c:val>
            <c:numRef>
              <c:f>'TOTAL TREATMENT COST BY TREATME'!$B$4:$B$9</c:f>
              <c:numCache>
                <c:formatCode>General</c:formatCode>
                <c:ptCount val="5"/>
                <c:pt idx="0">
                  <c:v>128855.67999999999</c:v>
                </c:pt>
                <c:pt idx="1">
                  <c:v>116098.16</c:v>
                </c:pt>
                <c:pt idx="2">
                  <c:v>110653.67</c:v>
                </c:pt>
                <c:pt idx="3">
                  <c:v>99418.1</c:v>
                </c:pt>
                <c:pt idx="4">
                  <c:v>96224.24</c:v>
                </c:pt>
              </c:numCache>
            </c:numRef>
          </c:val>
          <c:extLst>
            <c:ext xmlns:c16="http://schemas.microsoft.com/office/drawing/2014/chart" uri="{C3380CC4-5D6E-409C-BE32-E72D297353CC}">
              <c16:uniqueId val="{00000000-343A-4683-BF34-FEC4CD19E62F}"/>
            </c:ext>
          </c:extLst>
        </c:ser>
        <c:dLbls>
          <c:showLegendKey val="0"/>
          <c:showVal val="0"/>
          <c:showCatName val="0"/>
          <c:showSerName val="0"/>
          <c:showPercent val="0"/>
          <c:showBubbleSize val="0"/>
        </c:dLbls>
        <c:gapWidth val="219"/>
        <c:overlap val="-27"/>
        <c:axId val="219303824"/>
        <c:axId val="413804271"/>
      </c:barChart>
      <c:catAx>
        <c:axId val="2193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804271"/>
        <c:crosses val="autoZero"/>
        <c:auto val="1"/>
        <c:lblAlgn val="ctr"/>
        <c:lblOffset val="100"/>
        <c:noMultiLvlLbl val="0"/>
      </c:catAx>
      <c:valAx>
        <c:axId val="41380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BILLING AMOUNT!PivotTable28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BILLING AMMOUNT</a:t>
            </a:r>
            <a:endParaRPr lang="en-US"/>
          </a:p>
        </c:rich>
      </c:tx>
      <c:layout>
        <c:manualLayout>
          <c:xMode val="edge"/>
          <c:yMode val="edge"/>
          <c:x val="0.30895144356955379"/>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BILLING AMOUNT'!$B$3</c:f>
              <c:strCache>
                <c:ptCount val="1"/>
                <c:pt idx="0">
                  <c:v>Total</c:v>
                </c:pt>
              </c:strCache>
            </c:strRef>
          </c:tx>
          <c:spPr>
            <a:solidFill>
              <a:schemeClr val="accent1"/>
            </a:solidFill>
            <a:ln>
              <a:noFill/>
            </a:ln>
            <a:effectLst/>
          </c:spPr>
          <c:invertIfNegative val="0"/>
          <c:cat>
            <c:strRef>
              <c:f>'TOTAL BILLING AMOUNT'!$A$4:$A$7</c:f>
              <c:strCache>
                <c:ptCount val="3"/>
                <c:pt idx="0">
                  <c:v>Failed</c:v>
                </c:pt>
                <c:pt idx="1">
                  <c:v>Paid</c:v>
                </c:pt>
                <c:pt idx="2">
                  <c:v>Pending</c:v>
                </c:pt>
              </c:strCache>
            </c:strRef>
          </c:cat>
          <c:val>
            <c:numRef>
              <c:f>'TOTAL BILLING AMOUNT'!$B$4:$B$7</c:f>
              <c:numCache>
                <c:formatCode>"₹"\ #,##0.00</c:formatCode>
                <c:ptCount val="3"/>
                <c:pt idx="0">
                  <c:v>193212.94</c:v>
                </c:pt>
                <c:pt idx="1">
                  <c:v>173424.89999999994</c:v>
                </c:pt>
                <c:pt idx="2">
                  <c:v>184612.01000000004</c:v>
                </c:pt>
              </c:numCache>
            </c:numRef>
          </c:val>
          <c:extLst>
            <c:ext xmlns:c16="http://schemas.microsoft.com/office/drawing/2014/chart" uri="{C3380CC4-5D6E-409C-BE32-E72D297353CC}">
              <c16:uniqueId val="{00000000-5D18-4D35-A216-6C7FD03E4087}"/>
            </c:ext>
          </c:extLst>
        </c:ser>
        <c:dLbls>
          <c:showLegendKey val="0"/>
          <c:showVal val="0"/>
          <c:showCatName val="0"/>
          <c:showSerName val="0"/>
          <c:showPercent val="0"/>
          <c:showBubbleSize val="0"/>
        </c:dLbls>
        <c:gapWidth val="182"/>
        <c:axId val="521078095"/>
        <c:axId val="413879631"/>
      </c:barChart>
      <c:catAx>
        <c:axId val="52107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879631"/>
        <c:crosses val="autoZero"/>
        <c:auto val="1"/>
        <c:lblAlgn val="ctr"/>
        <c:lblOffset val="100"/>
        <c:noMultiLvlLbl val="0"/>
      </c:catAx>
      <c:valAx>
        <c:axId val="4138796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 (PROJECT).xlsx]TOTAL BILLING AMOUNT!PivotTable28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BILLING AMMOUNT</a:t>
            </a:r>
            <a:endParaRPr lang="en-US"/>
          </a:p>
        </c:rich>
      </c:tx>
      <c:layout>
        <c:manualLayout>
          <c:xMode val="edge"/>
          <c:yMode val="edge"/>
          <c:x val="0.30895144356955379"/>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BILLING AMOUNT'!$B$3</c:f>
              <c:strCache>
                <c:ptCount val="1"/>
                <c:pt idx="0">
                  <c:v>Total</c:v>
                </c:pt>
              </c:strCache>
            </c:strRef>
          </c:tx>
          <c:spPr>
            <a:solidFill>
              <a:schemeClr val="accent1"/>
            </a:solidFill>
            <a:ln>
              <a:noFill/>
            </a:ln>
            <a:effectLst/>
          </c:spPr>
          <c:invertIfNegative val="0"/>
          <c:cat>
            <c:strRef>
              <c:f>'TOTAL BILLING AMOUNT'!$A$4:$A$7</c:f>
              <c:strCache>
                <c:ptCount val="3"/>
                <c:pt idx="0">
                  <c:v>Failed</c:v>
                </c:pt>
                <c:pt idx="1">
                  <c:v>Paid</c:v>
                </c:pt>
                <c:pt idx="2">
                  <c:v>Pending</c:v>
                </c:pt>
              </c:strCache>
            </c:strRef>
          </c:cat>
          <c:val>
            <c:numRef>
              <c:f>'TOTAL BILLING AMOUNT'!$B$4:$B$7</c:f>
              <c:numCache>
                <c:formatCode>"₹"\ #,##0.00</c:formatCode>
                <c:ptCount val="3"/>
                <c:pt idx="0">
                  <c:v>193212.94</c:v>
                </c:pt>
                <c:pt idx="1">
                  <c:v>173424.89999999994</c:v>
                </c:pt>
                <c:pt idx="2">
                  <c:v>184612.01000000004</c:v>
                </c:pt>
              </c:numCache>
            </c:numRef>
          </c:val>
          <c:extLst>
            <c:ext xmlns:c16="http://schemas.microsoft.com/office/drawing/2014/chart" uri="{C3380CC4-5D6E-409C-BE32-E72D297353CC}">
              <c16:uniqueId val="{00000000-19D7-4425-81ED-8B1FFF0CDA48}"/>
            </c:ext>
          </c:extLst>
        </c:ser>
        <c:dLbls>
          <c:showLegendKey val="0"/>
          <c:showVal val="0"/>
          <c:showCatName val="0"/>
          <c:showSerName val="0"/>
          <c:showPercent val="0"/>
          <c:showBubbleSize val="0"/>
        </c:dLbls>
        <c:gapWidth val="182"/>
        <c:axId val="521078095"/>
        <c:axId val="413879631"/>
      </c:barChart>
      <c:catAx>
        <c:axId val="52107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879631"/>
        <c:crosses val="autoZero"/>
        <c:auto val="1"/>
        <c:lblAlgn val="ctr"/>
        <c:lblOffset val="100"/>
        <c:noMultiLvlLbl val="0"/>
      </c:catAx>
      <c:valAx>
        <c:axId val="4138796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44450</xdr:colOff>
      <xdr:row>3</xdr:row>
      <xdr:rowOff>66675</xdr:rowOff>
    </xdr:from>
    <xdr:to>
      <xdr:col>10</xdr:col>
      <xdr:colOff>349250</xdr:colOff>
      <xdr:row>18</xdr:row>
      <xdr:rowOff>47625</xdr:rowOff>
    </xdr:to>
    <xdr:graphicFrame macro="">
      <xdr:nvGraphicFramePr>
        <xdr:cNvPr id="2" name="Chart 1">
          <a:extLst>
            <a:ext uri="{FF2B5EF4-FFF2-40B4-BE49-F238E27FC236}">
              <a16:creationId xmlns:a16="http://schemas.microsoft.com/office/drawing/2014/main" id="{03C8B24D-A1B7-3E7C-871D-1489C23F1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584200</xdr:colOff>
      <xdr:row>2</xdr:row>
      <xdr:rowOff>139700</xdr:rowOff>
    </xdr:from>
    <xdr:to>
      <xdr:col>10</xdr:col>
      <xdr:colOff>279400</xdr:colOff>
      <xdr:row>17</xdr:row>
      <xdr:rowOff>120650</xdr:rowOff>
    </xdr:to>
    <xdr:graphicFrame macro="">
      <xdr:nvGraphicFramePr>
        <xdr:cNvPr id="2" name="Chart 1">
          <a:extLst>
            <a:ext uri="{FF2B5EF4-FFF2-40B4-BE49-F238E27FC236}">
              <a16:creationId xmlns:a16="http://schemas.microsoft.com/office/drawing/2014/main" id="{A5F68DF0-38E9-4D21-EDA0-C7AE79BB1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123825</xdr:rowOff>
    </xdr:from>
    <xdr:to>
      <xdr:col>10</xdr:col>
      <xdr:colOff>304800</xdr:colOff>
      <xdr:row>17</xdr:row>
      <xdr:rowOff>104775</xdr:rowOff>
    </xdr:to>
    <xdr:graphicFrame macro="">
      <xdr:nvGraphicFramePr>
        <xdr:cNvPr id="2" name="Chart 1">
          <a:extLst>
            <a:ext uri="{FF2B5EF4-FFF2-40B4-BE49-F238E27FC236}">
              <a16:creationId xmlns:a16="http://schemas.microsoft.com/office/drawing/2014/main" id="{38021DD9-BEE1-CAB0-98E0-F4507F197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63500</xdr:colOff>
      <xdr:row>0</xdr:row>
      <xdr:rowOff>130175</xdr:rowOff>
    </xdr:from>
    <xdr:to>
      <xdr:col>11</xdr:col>
      <xdr:colOff>368300</xdr:colOff>
      <xdr:row>15</xdr:row>
      <xdr:rowOff>111125</xdr:rowOff>
    </xdr:to>
    <xdr:graphicFrame macro="">
      <xdr:nvGraphicFramePr>
        <xdr:cNvPr id="2" name="Chart 1">
          <a:extLst>
            <a:ext uri="{FF2B5EF4-FFF2-40B4-BE49-F238E27FC236}">
              <a16:creationId xmlns:a16="http://schemas.microsoft.com/office/drawing/2014/main" id="{B59C10F2-A905-93EE-B2FB-8EFE81E87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44450</xdr:colOff>
      <xdr:row>3</xdr:row>
      <xdr:rowOff>66675</xdr:rowOff>
    </xdr:from>
    <xdr:to>
      <xdr:col>10</xdr:col>
      <xdr:colOff>349250</xdr:colOff>
      <xdr:row>18</xdr:row>
      <xdr:rowOff>47625</xdr:rowOff>
    </xdr:to>
    <xdr:graphicFrame macro="">
      <xdr:nvGraphicFramePr>
        <xdr:cNvPr id="2" name="Chart 1">
          <a:extLst>
            <a:ext uri="{FF2B5EF4-FFF2-40B4-BE49-F238E27FC236}">
              <a16:creationId xmlns:a16="http://schemas.microsoft.com/office/drawing/2014/main" id="{5442D99F-E48C-0C5B-2F07-1D1535405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241300</xdr:colOff>
      <xdr:row>3</xdr:row>
      <xdr:rowOff>3175</xdr:rowOff>
    </xdr:from>
    <xdr:to>
      <xdr:col>10</xdr:col>
      <xdr:colOff>546100</xdr:colOff>
      <xdr:row>17</xdr:row>
      <xdr:rowOff>168275</xdr:rowOff>
    </xdr:to>
    <xdr:graphicFrame macro="">
      <xdr:nvGraphicFramePr>
        <xdr:cNvPr id="2" name="Chart 1">
          <a:extLst>
            <a:ext uri="{FF2B5EF4-FFF2-40B4-BE49-F238E27FC236}">
              <a16:creationId xmlns:a16="http://schemas.microsoft.com/office/drawing/2014/main" id="{B6224A30-CD2F-105A-EBAC-AB5861757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558800</xdr:colOff>
      <xdr:row>2</xdr:row>
      <xdr:rowOff>136525</xdr:rowOff>
    </xdr:from>
    <xdr:to>
      <xdr:col>10</xdr:col>
      <xdr:colOff>254000</xdr:colOff>
      <xdr:row>17</xdr:row>
      <xdr:rowOff>117475</xdr:rowOff>
    </xdr:to>
    <xdr:graphicFrame macro="">
      <xdr:nvGraphicFramePr>
        <xdr:cNvPr id="2" name="Chart 1">
          <a:extLst>
            <a:ext uri="{FF2B5EF4-FFF2-40B4-BE49-F238E27FC236}">
              <a16:creationId xmlns:a16="http://schemas.microsoft.com/office/drawing/2014/main" id="{EAEC5009-3653-B9DC-0C6C-F0EAF83B4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292100</xdr:colOff>
      <xdr:row>3</xdr:row>
      <xdr:rowOff>155575</xdr:rowOff>
    </xdr:from>
    <xdr:to>
      <xdr:col>10</xdr:col>
      <xdr:colOff>596900</xdr:colOff>
      <xdr:row>18</xdr:row>
      <xdr:rowOff>136525</xdr:rowOff>
    </xdr:to>
    <xdr:graphicFrame macro="">
      <xdr:nvGraphicFramePr>
        <xdr:cNvPr id="2" name="Chart 1">
          <a:extLst>
            <a:ext uri="{FF2B5EF4-FFF2-40B4-BE49-F238E27FC236}">
              <a16:creationId xmlns:a16="http://schemas.microsoft.com/office/drawing/2014/main" id="{DAD1FEC7-3082-73C2-9F45-FD051C1BF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584200</xdr:colOff>
      <xdr:row>19</xdr:row>
      <xdr:rowOff>139700</xdr:rowOff>
    </xdr:from>
    <xdr:to>
      <xdr:col>3</xdr:col>
      <xdr:colOff>177800</xdr:colOff>
      <xdr:row>33</xdr:row>
      <xdr:rowOff>180972</xdr:rowOff>
    </xdr:to>
    <mc:AlternateContent xmlns:mc="http://schemas.openxmlformats.org/markup-compatibility/2006">
      <mc:Choice xmlns:a14="http://schemas.microsoft.com/office/drawing/2010/main" Requires="a14">
        <xdr:graphicFrame macro="">
          <xdr:nvGraphicFramePr>
            <xdr:cNvPr id="3" name="SPECIALIZATION">
              <a:extLst>
                <a:ext uri="{FF2B5EF4-FFF2-40B4-BE49-F238E27FC236}">
                  <a16:creationId xmlns:a16="http://schemas.microsoft.com/office/drawing/2014/main" id="{C01FFE98-F68C-3C5B-808E-38069140AA65}"/>
                </a:ext>
              </a:extLst>
            </xdr:cNvPr>
            <xdr:cNvGraphicFramePr/>
          </xdr:nvGraphicFramePr>
          <xdr:xfrm>
            <a:off x="0" y="0"/>
            <a:ext cx="0" cy="0"/>
          </xdr:xfrm>
          <a:graphic>
            <a:graphicData uri="http://schemas.microsoft.com/office/drawing/2010/slicer">
              <sle:slicer xmlns:sle="http://schemas.microsoft.com/office/drawing/2010/slicer" name="SPECIALIZATION"/>
            </a:graphicData>
          </a:graphic>
        </xdr:graphicFrame>
      </mc:Choice>
      <mc:Fallback>
        <xdr:sp macro="" textlink="">
          <xdr:nvSpPr>
            <xdr:cNvPr id="0" name=""/>
            <xdr:cNvSpPr>
              <a:spLocks noTextEdit="1"/>
            </xdr:cNvSpPr>
          </xdr:nvSpPr>
          <xdr:spPr>
            <a:xfrm>
              <a:off x="584200" y="363855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19</xdr:row>
      <xdr:rowOff>69850</xdr:rowOff>
    </xdr:from>
    <xdr:to>
      <xdr:col>17</xdr:col>
      <xdr:colOff>76200</xdr:colOff>
      <xdr:row>33</xdr:row>
      <xdr:rowOff>111122</xdr:rowOff>
    </xdr:to>
    <mc:AlternateContent xmlns:mc="http://schemas.openxmlformats.org/markup-compatibility/2006">
      <mc:Choice xmlns:a14="http://schemas.microsoft.com/office/drawing/2010/main" Requires="a14">
        <xdr:graphicFrame macro="">
          <xdr:nvGraphicFramePr>
            <xdr:cNvPr id="4" name="HOSPITAL BRANCH">
              <a:extLst>
                <a:ext uri="{FF2B5EF4-FFF2-40B4-BE49-F238E27FC236}">
                  <a16:creationId xmlns:a16="http://schemas.microsoft.com/office/drawing/2014/main" id="{9668CF84-B649-2D42-2EBD-CF1C0E292C7B}"/>
                </a:ext>
              </a:extLst>
            </xdr:cNvPr>
            <xdr:cNvGraphicFramePr/>
          </xdr:nvGraphicFramePr>
          <xdr:xfrm>
            <a:off x="0" y="0"/>
            <a:ext cx="0" cy="0"/>
          </xdr:xfrm>
          <a:graphic>
            <a:graphicData uri="http://schemas.microsoft.com/office/drawing/2010/slicer">
              <sle:slicer xmlns:sle="http://schemas.microsoft.com/office/drawing/2010/slicer" name="HOSPITAL BRANCH"/>
            </a:graphicData>
          </a:graphic>
        </xdr:graphicFrame>
      </mc:Choice>
      <mc:Fallback>
        <xdr:sp macro="" textlink="">
          <xdr:nvSpPr>
            <xdr:cNvPr id="0" name=""/>
            <xdr:cNvSpPr>
              <a:spLocks noTextEdit="1"/>
            </xdr:cNvSpPr>
          </xdr:nvSpPr>
          <xdr:spPr>
            <a:xfrm>
              <a:off x="9017000" y="356870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463550</xdr:colOff>
      <xdr:row>19</xdr:row>
      <xdr:rowOff>57150</xdr:rowOff>
    </xdr:from>
    <xdr:to>
      <xdr:col>13</xdr:col>
      <xdr:colOff>463550</xdr:colOff>
      <xdr:row>33</xdr:row>
      <xdr:rowOff>98422</xdr:rowOff>
    </xdr:to>
    <mc:AlternateContent xmlns:mc="http://schemas.openxmlformats.org/markup-compatibility/2006">
      <mc:Choice xmlns:a14="http://schemas.microsoft.com/office/drawing/2010/main" Requires="a14">
        <xdr:graphicFrame macro="">
          <xdr:nvGraphicFramePr>
            <xdr:cNvPr id="5" name="status">
              <a:extLst>
                <a:ext uri="{FF2B5EF4-FFF2-40B4-BE49-F238E27FC236}">
                  <a16:creationId xmlns:a16="http://schemas.microsoft.com/office/drawing/2014/main" id="{D324D3B9-4226-2319-8FE3-90B5F49EF83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965950" y="355600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19</xdr:row>
      <xdr:rowOff>114300</xdr:rowOff>
    </xdr:from>
    <xdr:to>
      <xdr:col>6</xdr:col>
      <xdr:colOff>419100</xdr:colOff>
      <xdr:row>33</xdr:row>
      <xdr:rowOff>155572</xdr:rowOff>
    </xdr:to>
    <mc:AlternateContent xmlns:mc="http://schemas.openxmlformats.org/markup-compatibility/2006">
      <mc:Choice xmlns:a14="http://schemas.microsoft.com/office/drawing/2010/main" Requires="a14">
        <xdr:graphicFrame macro="">
          <xdr:nvGraphicFramePr>
            <xdr:cNvPr id="6" name="treatment_type">
              <a:extLst>
                <a:ext uri="{FF2B5EF4-FFF2-40B4-BE49-F238E27FC236}">
                  <a16:creationId xmlns:a16="http://schemas.microsoft.com/office/drawing/2014/main" id="{2C93A650-BA84-7C76-3B4A-B06592FA7EC2}"/>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dr:sp macro="" textlink="">
          <xdr:nvSpPr>
            <xdr:cNvPr id="0" name=""/>
            <xdr:cNvSpPr>
              <a:spLocks noTextEdit="1"/>
            </xdr:cNvSpPr>
          </xdr:nvSpPr>
          <xdr:spPr>
            <a:xfrm>
              <a:off x="2654300" y="361315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177800</xdr:colOff>
      <xdr:row>19</xdr:row>
      <xdr:rowOff>63500</xdr:rowOff>
    </xdr:from>
    <xdr:to>
      <xdr:col>10</xdr:col>
      <xdr:colOff>177800</xdr:colOff>
      <xdr:row>33</xdr:row>
      <xdr:rowOff>104772</xdr:rowOff>
    </xdr:to>
    <mc:AlternateContent xmlns:mc="http://schemas.openxmlformats.org/markup-compatibility/2006">
      <mc:Choice xmlns:a14="http://schemas.microsoft.com/office/drawing/2010/main" Requires="a14">
        <xdr:graphicFrame macro="">
          <xdr:nvGraphicFramePr>
            <xdr:cNvPr id="7" name="payment_status">
              <a:extLst>
                <a:ext uri="{FF2B5EF4-FFF2-40B4-BE49-F238E27FC236}">
                  <a16:creationId xmlns:a16="http://schemas.microsoft.com/office/drawing/2014/main" id="{7EF4403C-E913-A614-C0CA-817469C59654}"/>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4851400" y="356235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184150</xdr:colOff>
      <xdr:row>3</xdr:row>
      <xdr:rowOff>114300</xdr:rowOff>
    </xdr:from>
    <xdr:to>
      <xdr:col>5</xdr:col>
      <xdr:colOff>933450</xdr:colOff>
      <xdr:row>17</xdr:row>
      <xdr:rowOff>57150</xdr:rowOff>
    </xdr:to>
    <xdr:graphicFrame macro="">
      <xdr:nvGraphicFramePr>
        <xdr:cNvPr id="2" name="Chart 1">
          <a:extLst>
            <a:ext uri="{FF2B5EF4-FFF2-40B4-BE49-F238E27FC236}">
              <a16:creationId xmlns:a16="http://schemas.microsoft.com/office/drawing/2014/main" id="{635FD96B-089A-49C9-BE5F-6C03C9C20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1149350</xdr:colOff>
      <xdr:row>3</xdr:row>
      <xdr:rowOff>120650</xdr:rowOff>
    </xdr:from>
    <xdr:to>
      <xdr:col>5</xdr:col>
      <xdr:colOff>5080000</xdr:colOff>
      <xdr:row>17</xdr:row>
      <xdr:rowOff>133350</xdr:rowOff>
    </xdr:to>
    <xdr:graphicFrame macro="">
      <xdr:nvGraphicFramePr>
        <xdr:cNvPr id="3" name="Chart 2">
          <a:extLst>
            <a:ext uri="{FF2B5EF4-FFF2-40B4-BE49-F238E27FC236}">
              <a16:creationId xmlns:a16="http://schemas.microsoft.com/office/drawing/2014/main" id="{F13B75F7-03D3-4FD9-A195-2A8B55527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209550</xdr:colOff>
      <xdr:row>19</xdr:row>
      <xdr:rowOff>0</xdr:rowOff>
    </xdr:from>
    <xdr:to>
      <xdr:col>5</xdr:col>
      <xdr:colOff>889000</xdr:colOff>
      <xdr:row>33</xdr:row>
      <xdr:rowOff>165100</xdr:rowOff>
    </xdr:to>
    <xdr:graphicFrame macro="">
      <xdr:nvGraphicFramePr>
        <xdr:cNvPr id="4" name="Chart 3">
          <a:extLst>
            <a:ext uri="{FF2B5EF4-FFF2-40B4-BE49-F238E27FC236}">
              <a16:creationId xmlns:a16="http://schemas.microsoft.com/office/drawing/2014/main" id="{0C0EB54D-7E21-4545-8C63-946EB5D31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1193800</xdr:colOff>
      <xdr:row>18</xdr:row>
      <xdr:rowOff>165100</xdr:rowOff>
    </xdr:from>
    <xdr:to>
      <xdr:col>5</xdr:col>
      <xdr:colOff>5067300</xdr:colOff>
      <xdr:row>33</xdr:row>
      <xdr:rowOff>146050</xdr:rowOff>
    </xdr:to>
    <xdr:graphicFrame macro="">
      <xdr:nvGraphicFramePr>
        <xdr:cNvPr id="5" name="Chart 4">
          <a:extLst>
            <a:ext uri="{FF2B5EF4-FFF2-40B4-BE49-F238E27FC236}">
              <a16:creationId xmlns:a16="http://schemas.microsoft.com/office/drawing/2014/main" id="{C88FAAE2-3245-4138-8456-237E88A95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35</xdr:row>
      <xdr:rowOff>88900</xdr:rowOff>
    </xdr:from>
    <xdr:to>
      <xdr:col>5</xdr:col>
      <xdr:colOff>946150</xdr:colOff>
      <xdr:row>50</xdr:row>
      <xdr:rowOff>69850</xdr:rowOff>
    </xdr:to>
    <xdr:graphicFrame macro="">
      <xdr:nvGraphicFramePr>
        <xdr:cNvPr id="6" name="Chart 5">
          <a:extLst>
            <a:ext uri="{FF2B5EF4-FFF2-40B4-BE49-F238E27FC236}">
              <a16:creationId xmlns:a16="http://schemas.microsoft.com/office/drawing/2014/main" id="{A3322316-53A6-42CA-90CA-45AF10828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xdr:colOff>
      <xdr:row>51</xdr:row>
      <xdr:rowOff>127000</xdr:rowOff>
    </xdr:from>
    <xdr:to>
      <xdr:col>5</xdr:col>
      <xdr:colOff>1079500</xdr:colOff>
      <xdr:row>65</xdr:row>
      <xdr:rowOff>165100</xdr:rowOff>
    </xdr:to>
    <xdr:graphicFrame macro="">
      <xdr:nvGraphicFramePr>
        <xdr:cNvPr id="8" name="Chart 7">
          <a:extLst>
            <a:ext uri="{FF2B5EF4-FFF2-40B4-BE49-F238E27FC236}">
              <a16:creationId xmlns:a16="http://schemas.microsoft.com/office/drawing/2014/main" id="{3381048C-2AAA-4BD5-AF41-C2A229641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1543050</xdr:colOff>
      <xdr:row>50</xdr:row>
      <xdr:rowOff>127000</xdr:rowOff>
    </xdr:from>
    <xdr:to>
      <xdr:col>6</xdr:col>
      <xdr:colOff>25400</xdr:colOff>
      <xdr:row>65</xdr:row>
      <xdr:rowOff>107950</xdr:rowOff>
    </xdr:to>
    <xdr:graphicFrame macro="">
      <xdr:nvGraphicFramePr>
        <xdr:cNvPr id="9" name="Chart 8">
          <a:extLst>
            <a:ext uri="{FF2B5EF4-FFF2-40B4-BE49-F238E27FC236}">
              <a16:creationId xmlns:a16="http://schemas.microsoft.com/office/drawing/2014/main" id="{0F52021B-A030-4F50-A61D-49613BE0B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1111250</xdr:colOff>
      <xdr:row>35</xdr:row>
      <xdr:rowOff>101600</xdr:rowOff>
    </xdr:from>
    <xdr:to>
      <xdr:col>5</xdr:col>
      <xdr:colOff>5143500</xdr:colOff>
      <xdr:row>50</xdr:row>
      <xdr:rowOff>25400</xdr:rowOff>
    </xdr:to>
    <xdr:graphicFrame macro="">
      <xdr:nvGraphicFramePr>
        <xdr:cNvPr id="10" name="Chart 9">
          <a:extLst>
            <a:ext uri="{FF2B5EF4-FFF2-40B4-BE49-F238E27FC236}">
              <a16:creationId xmlns:a16="http://schemas.microsoft.com/office/drawing/2014/main" id="{2AED3E60-B84C-43C3-ABB9-C05F965D4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5308600</xdr:colOff>
      <xdr:row>4</xdr:row>
      <xdr:rowOff>19050</xdr:rowOff>
    </xdr:from>
    <xdr:to>
      <xdr:col>8</xdr:col>
      <xdr:colOff>457200</xdr:colOff>
      <xdr:row>18</xdr:row>
      <xdr:rowOff>60322</xdr:rowOff>
    </xdr:to>
    <mc:AlternateContent xmlns:mc="http://schemas.openxmlformats.org/markup-compatibility/2006">
      <mc:Choice xmlns:a14="http://schemas.microsoft.com/office/drawing/2010/main" Requires="a14">
        <xdr:graphicFrame macro="">
          <xdr:nvGraphicFramePr>
            <xdr:cNvPr id="12" name="treatment_type 1">
              <a:extLst>
                <a:ext uri="{FF2B5EF4-FFF2-40B4-BE49-F238E27FC236}">
                  <a16:creationId xmlns:a16="http://schemas.microsoft.com/office/drawing/2014/main" id="{C1A1D0A7-9F59-4432-85A8-1AA86258AA03}"/>
                </a:ext>
              </a:extLst>
            </xdr:cNvPr>
            <xdr:cNvGraphicFramePr/>
          </xdr:nvGraphicFramePr>
          <xdr:xfrm>
            <a:off x="0" y="0"/>
            <a:ext cx="0" cy="0"/>
          </xdr:xfrm>
          <a:graphic>
            <a:graphicData uri="http://schemas.microsoft.com/office/drawing/2010/slicer">
              <sle:slicer xmlns:sle="http://schemas.microsoft.com/office/drawing/2010/slicer" name="treatment_type 1"/>
            </a:graphicData>
          </a:graphic>
        </xdr:graphicFrame>
      </mc:Choice>
      <mc:Fallback>
        <xdr:sp macro="" textlink="">
          <xdr:nvSpPr>
            <xdr:cNvPr id="0" name=""/>
            <xdr:cNvSpPr>
              <a:spLocks noTextEdit="1"/>
            </xdr:cNvSpPr>
          </xdr:nvSpPr>
          <xdr:spPr>
            <a:xfrm>
              <a:off x="8356600" y="100965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596900</xdr:colOff>
      <xdr:row>4</xdr:row>
      <xdr:rowOff>25400</xdr:rowOff>
    </xdr:from>
    <xdr:to>
      <xdr:col>11</xdr:col>
      <xdr:colOff>596900</xdr:colOff>
      <xdr:row>18</xdr:row>
      <xdr:rowOff>66672</xdr:rowOff>
    </xdr:to>
    <mc:AlternateContent xmlns:mc="http://schemas.openxmlformats.org/markup-compatibility/2006">
      <mc:Choice xmlns:a14="http://schemas.microsoft.com/office/drawing/2010/main" Requires="a14">
        <xdr:graphicFrame macro="">
          <xdr:nvGraphicFramePr>
            <xdr:cNvPr id="13" name="SPECIALIZATION 1">
              <a:extLst>
                <a:ext uri="{FF2B5EF4-FFF2-40B4-BE49-F238E27FC236}">
                  <a16:creationId xmlns:a16="http://schemas.microsoft.com/office/drawing/2014/main" id="{87C75F5E-3911-48B9-BF32-A762FDE4C49B}"/>
                </a:ext>
              </a:extLst>
            </xdr:cNvPr>
            <xdr:cNvGraphicFramePr/>
          </xdr:nvGraphicFramePr>
          <xdr:xfrm>
            <a:off x="0" y="0"/>
            <a:ext cx="0" cy="0"/>
          </xdr:xfrm>
          <a:graphic>
            <a:graphicData uri="http://schemas.microsoft.com/office/drawing/2010/slicer">
              <sle:slicer xmlns:sle="http://schemas.microsoft.com/office/drawing/2010/slicer" name="SPECIALIZATION 1"/>
            </a:graphicData>
          </a:graphic>
        </xdr:graphicFrame>
      </mc:Choice>
      <mc:Fallback>
        <xdr:sp macro="" textlink="">
          <xdr:nvSpPr>
            <xdr:cNvPr id="0" name=""/>
            <xdr:cNvSpPr>
              <a:spLocks noTextEdit="1"/>
            </xdr:cNvSpPr>
          </xdr:nvSpPr>
          <xdr:spPr>
            <a:xfrm>
              <a:off x="10325100" y="101600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5327650</xdr:colOff>
      <xdr:row>19</xdr:row>
      <xdr:rowOff>152400</xdr:rowOff>
    </xdr:from>
    <xdr:to>
      <xdr:col>8</xdr:col>
      <xdr:colOff>476250</xdr:colOff>
      <xdr:row>34</xdr:row>
      <xdr:rowOff>9522</xdr:rowOff>
    </xdr:to>
    <mc:AlternateContent xmlns:mc="http://schemas.openxmlformats.org/markup-compatibility/2006">
      <mc:Choice xmlns:a14="http://schemas.microsoft.com/office/drawing/2010/main" Requires="a14">
        <xdr:graphicFrame macro="">
          <xdr:nvGraphicFramePr>
            <xdr:cNvPr id="14" name="payment_status 1">
              <a:extLst>
                <a:ext uri="{FF2B5EF4-FFF2-40B4-BE49-F238E27FC236}">
                  <a16:creationId xmlns:a16="http://schemas.microsoft.com/office/drawing/2014/main" id="{947E4E83-C415-434B-AA20-B930626CC01E}"/>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dr:sp macro="" textlink="">
          <xdr:nvSpPr>
            <xdr:cNvPr id="0" name=""/>
            <xdr:cNvSpPr>
              <a:spLocks noTextEdit="1"/>
            </xdr:cNvSpPr>
          </xdr:nvSpPr>
          <xdr:spPr>
            <a:xfrm>
              <a:off x="8375650" y="390525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171450</xdr:colOff>
      <xdr:row>19</xdr:row>
      <xdr:rowOff>95250</xdr:rowOff>
    </xdr:from>
    <xdr:to>
      <xdr:col>12</xdr:col>
      <xdr:colOff>171450</xdr:colOff>
      <xdr:row>33</xdr:row>
      <xdr:rowOff>136522</xdr:rowOff>
    </xdr:to>
    <mc:AlternateContent xmlns:mc="http://schemas.openxmlformats.org/markup-compatibility/2006">
      <mc:Choice xmlns:a14="http://schemas.microsoft.com/office/drawing/2010/main" Requires="a14">
        <xdr:graphicFrame macro="">
          <xdr:nvGraphicFramePr>
            <xdr:cNvPr id="16" name="status 1">
              <a:extLst>
                <a:ext uri="{FF2B5EF4-FFF2-40B4-BE49-F238E27FC236}">
                  <a16:creationId xmlns:a16="http://schemas.microsoft.com/office/drawing/2014/main" id="{DE2B9A82-8C6E-48E0-BDCF-92D9C5CBD71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0509250" y="384810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5372100</xdr:colOff>
      <xdr:row>35</xdr:row>
      <xdr:rowOff>120650</xdr:rowOff>
    </xdr:from>
    <xdr:to>
      <xdr:col>8</xdr:col>
      <xdr:colOff>520700</xdr:colOff>
      <xdr:row>49</xdr:row>
      <xdr:rowOff>161922</xdr:rowOff>
    </xdr:to>
    <mc:AlternateContent xmlns:mc="http://schemas.openxmlformats.org/markup-compatibility/2006">
      <mc:Choice xmlns:a14="http://schemas.microsoft.com/office/drawing/2010/main" Requires="a14">
        <xdr:graphicFrame macro="">
          <xdr:nvGraphicFramePr>
            <xdr:cNvPr id="17" name="HOSPITAL BRANCH 1">
              <a:extLst>
                <a:ext uri="{FF2B5EF4-FFF2-40B4-BE49-F238E27FC236}">
                  <a16:creationId xmlns:a16="http://schemas.microsoft.com/office/drawing/2014/main" id="{3869F2AE-3822-44AB-A1AF-DF971D174031}"/>
                </a:ext>
              </a:extLst>
            </xdr:cNvPr>
            <xdr:cNvGraphicFramePr/>
          </xdr:nvGraphicFramePr>
          <xdr:xfrm>
            <a:off x="0" y="0"/>
            <a:ext cx="0" cy="0"/>
          </xdr:xfrm>
          <a:graphic>
            <a:graphicData uri="http://schemas.microsoft.com/office/drawing/2010/slicer">
              <sle:slicer xmlns:sle="http://schemas.microsoft.com/office/drawing/2010/slicer" name="HOSPITAL BRANCH 1"/>
            </a:graphicData>
          </a:graphic>
        </xdr:graphicFrame>
      </mc:Choice>
      <mc:Fallback>
        <xdr:sp macro="" textlink="">
          <xdr:nvSpPr>
            <xdr:cNvPr id="0" name=""/>
            <xdr:cNvSpPr>
              <a:spLocks noTextEdit="1"/>
            </xdr:cNvSpPr>
          </xdr:nvSpPr>
          <xdr:spPr>
            <a:xfrm>
              <a:off x="8420100" y="681990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95250</xdr:colOff>
      <xdr:row>3</xdr:row>
      <xdr:rowOff>19050</xdr:rowOff>
    </xdr:from>
    <xdr:to>
      <xdr:col>10</xdr:col>
      <xdr:colOff>400050</xdr:colOff>
      <xdr:row>18</xdr:row>
      <xdr:rowOff>0</xdr:rowOff>
    </xdr:to>
    <xdr:graphicFrame macro="">
      <xdr:nvGraphicFramePr>
        <xdr:cNvPr id="2" name="Chart 1">
          <a:extLst>
            <a:ext uri="{FF2B5EF4-FFF2-40B4-BE49-F238E27FC236}">
              <a16:creationId xmlns:a16="http://schemas.microsoft.com/office/drawing/2014/main" id="{2C525C5D-E38A-3079-C013-AC874AC28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0.377319444444" createdVersion="8" refreshedVersion="8" minRefreshableVersion="3" recordCount="200" xr:uid="{DB9812D9-DB3C-4C36-AF9C-E77F8B2D035A}">
  <cacheSource type="worksheet">
    <worksheetSource name="Table6"/>
  </cacheSource>
  <cacheFields count="27">
    <cacheField name="appointment_id" numFmtId="0">
      <sharedItems/>
    </cacheField>
    <cacheField name="patient_id" numFmtId="0">
      <sharedItems/>
    </cacheField>
    <cacheField name="NAME" numFmtId="0">
      <sharedItems/>
    </cacheField>
    <cacheField name="GENDER" numFmtId="0">
      <sharedItems/>
    </cacheField>
    <cacheField name="DATE OF BIRTH" numFmtId="14">
      <sharedItems containsSemiMixedTypes="0" containsNonDate="0" containsDate="1" containsString="0" minDate="1950-01-26T00:00:00" maxDate="2005-05-16T00:00:00"/>
    </cacheField>
    <cacheField name="CONTACT NUMBER" numFmtId="0">
      <sharedItems containsSemiMixedTypes="0" containsString="0" containsNumber="1" containsInteger="1" minValue="6141951830" maxValue="9900972256"/>
    </cacheField>
    <cacheField name="ADDRESS" numFmtId="0">
      <sharedItems/>
    </cacheField>
    <cacheField name="REGISTRATION DATE" numFmtId="14">
      <sharedItems containsSemiMixedTypes="0" containsNonDate="0" containsDate="1" containsString="0" minDate="2021-01-23T00:00:00" maxDate="2023-12-13T00:00:00"/>
    </cacheField>
    <cacheField name="PATIENT EMAIL" numFmtId="0">
      <sharedItems/>
    </cacheField>
    <cacheField name="doctor_id" numFmtId="0">
      <sharedItems/>
    </cacheField>
    <cacheField name="DOCTOR NAME" numFmtId="0">
      <sharedItems/>
    </cacheField>
    <cacheField name="SPECIALIZATION" numFmtId="0">
      <sharedItems/>
    </cacheField>
    <cacheField name="PHONE NUMBER" numFmtId="0">
      <sharedItems containsSemiMixedTypes="0" containsString="0" containsNumber="1" containsInteger="1" minValue="6176383634" maxValue="9118538547"/>
    </cacheField>
    <cacheField name="HOSPITAL BRANCH" numFmtId="0">
      <sharedItems/>
    </cacheField>
    <cacheField name="appointment_date" numFmtId="14">
      <sharedItems containsSemiMixedTypes="0" containsNonDate="0" containsDate="1" containsString="0" minDate="2023-01-01T00:00:00" maxDate="2023-12-31T00:00:00"/>
    </cacheField>
    <cacheField name="appointment_time" numFmtId="164">
      <sharedItems containsSemiMixedTypes="0" containsNonDate="0" containsDate="1" containsString="0" minDate="1899-12-30T08:00:00" maxDate="1899-12-30T17:45:00"/>
    </cacheField>
    <cacheField name="reason_for_visit" numFmtId="0">
      <sharedItems/>
    </cacheField>
    <cacheField name="status" numFmtId="0">
      <sharedItems count="4">
        <s v="Scheduled"/>
        <s v="No-show"/>
        <s v="Cancelled"/>
        <s v="Completed"/>
      </sharedItems>
    </cacheField>
    <cacheField name="treatment_id" numFmtId="0">
      <sharedItems/>
    </cacheField>
    <cacheField name="treatment_type" numFmtId="0">
      <sharedItems/>
    </cacheField>
    <cacheField name="cost" numFmtId="165">
      <sharedItems containsSemiMixedTypes="0" containsString="0" containsNumber="1" minValue="534.03" maxValue="4973.63"/>
    </cacheField>
    <cacheField name="treatment_date" numFmtId="14">
      <sharedItems containsSemiMixedTypes="0" containsNonDate="0" containsDate="1" containsString="0" minDate="2023-01-01T00:00:00" maxDate="2023-12-31T00:00:00"/>
    </cacheField>
    <cacheField name="bill_id" numFmtId="0">
      <sharedItems/>
    </cacheField>
    <cacheField name="bill_date" numFmtId="14">
      <sharedItems containsSemiMixedTypes="0" containsNonDate="0" containsDate="1" containsString="0" minDate="2023-01-01T00:00:00" maxDate="2023-12-31T00:00:00"/>
    </cacheField>
    <cacheField name="amount" numFmtId="165">
      <sharedItems containsSemiMixedTypes="0" containsString="0" containsNumber="1" minValue="534.03" maxValue="4973.63"/>
    </cacheField>
    <cacheField name="payment_method" numFmtId="0">
      <sharedItems/>
    </cacheField>
    <cacheField name="payment_status" numFmtId="0">
      <sharedItems count="3">
        <s v="Pending"/>
        <s v="Paid"/>
        <s v="Fail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0.410073495368" backgroundQuery="1" createdVersion="8" refreshedVersion="8" minRefreshableVersion="3" recordCount="0" supportSubquery="1" supportAdvancedDrill="1" xr:uid="{C1CED5B2-EDAF-40FE-B827-1F710548103F}">
  <cacheSource type="external" connectionId="6"/>
  <cacheFields count="3">
    <cacheField name="[treatments].[treatment_type].[treatment_type]" caption="treatment_type" numFmtId="0" hierarchy="29" level="1">
      <sharedItems count="5">
        <s v="Chemotherapy"/>
        <s v="ECG"/>
        <s v="MRI"/>
        <s v="Physiotherapy"/>
        <s v="X-Ray"/>
      </sharedItems>
    </cacheField>
    <cacheField name="[Measures].[Sum of cost]" caption="Sum of cost" numFmtId="0" hierarchy="36" level="32767"/>
    <cacheField name="[Table6].[HOSPITAL BRANCH].[HOSPITAL BRANCH]" caption="HOSPITAL BRANCH" numFmtId="0" hierarchy="13" level="1">
      <sharedItems containsSemiMixedTypes="0" containsNonDate="0" containsString="0"/>
    </cacheField>
  </cacheFields>
  <cacheHierarchies count="38">
    <cacheHierarchy uniqueName="[Table6].[appointment_id]" caption="appointment_id" attribute="1" defaultMemberUniqueName="[Table6].[appointment_id].[All]" allUniqueName="[Table6].[appointment_id].[All]" dimensionUniqueName="[Table6]" displayFolder="" count="2" memberValueDatatype="130" unbalanced="0"/>
    <cacheHierarchy uniqueName="[Table6].[patient_id]" caption="patient_id" attribute="1" defaultMemberUniqueName="[Table6].[patient_id].[All]" allUniqueName="[Table6].[patient_id].[All]" dimensionUniqueName="[Table6]" displayFolder="" count="2" memberValueDatatype="130" unbalanced="0"/>
    <cacheHierarchy uniqueName="[Table6].[NAME]" caption="NAME" attribute="1" defaultMemberUniqueName="[Table6].[NAME].[All]" allUniqueName="[Table6].[NAME].[All]" dimensionUniqueName="[Table6]" displayFolder="" count="2" memberValueDatatype="130" unbalanced="0"/>
    <cacheHierarchy uniqueName="[Table6].[GENDER]" caption="GENDER" attribute="1" defaultMemberUniqueName="[Table6].[GENDER].[All]" allUniqueName="[Table6].[GENDER].[All]" dimensionUniqueName="[Table6]" displayFolder="" count="2" memberValueDatatype="130" unbalanced="0"/>
    <cacheHierarchy uniqueName="[Table6].[DATE OF BIRTH]" caption="DATE OF BIRTH" attribute="1" time="1" defaultMemberUniqueName="[Table6].[DATE OF BIRTH].[All]" allUniqueName="[Table6].[DATE OF BIRTH].[All]" dimensionUniqueName="[Table6]" displayFolder="" count="2" memberValueDatatype="7" unbalanced="0"/>
    <cacheHierarchy uniqueName="[Table6].[CONTACT NUMBER]" caption="CONTACT NUMBER" attribute="1" defaultMemberUniqueName="[Table6].[CONTACT NUMBER].[All]" allUniqueName="[Table6].[CONTACT NUMBER].[All]" dimensionUniqueName="[Table6]" displayFolder="" count="2" memberValueDatatype="5" unbalanced="0"/>
    <cacheHierarchy uniqueName="[Table6].[ADDRESS]" caption="ADDRESS" attribute="1" defaultMemberUniqueName="[Table6].[ADDRESS].[All]" allUniqueName="[Table6].[ADDRESS].[All]" dimensionUniqueName="[Table6]" displayFolder="" count="2" memberValueDatatype="130" unbalanced="0"/>
    <cacheHierarchy uniqueName="[Table6].[REGISTRATION DATE]" caption="REGISTRATION DATE" attribute="1" time="1" defaultMemberUniqueName="[Table6].[REGISTRATION DATE].[All]" allUniqueName="[Table6].[REGISTRATION DATE].[All]" dimensionUniqueName="[Table6]" displayFolder="" count="2" memberValueDatatype="7" unbalanced="0"/>
    <cacheHierarchy uniqueName="[Table6].[PATIENT EMAIL]" caption="PATIENT EMAIL" attribute="1" defaultMemberUniqueName="[Table6].[PATIENT EMAIL].[All]" allUniqueName="[Table6].[PATIENT EMAIL].[All]" dimensionUniqueName="[Table6]" displayFolder="" count="2" memberValueDatatype="130" unbalanced="0"/>
    <cacheHierarchy uniqueName="[Table6].[doctor_id]" caption="doctor_id" attribute="1" defaultMemberUniqueName="[Table6].[doctor_id].[All]" allUniqueName="[Table6].[doctor_id].[All]" dimensionUniqueName="[Table6]" displayFolder="" count="2" memberValueDatatype="130" unbalanced="0"/>
    <cacheHierarchy uniqueName="[Table6].[DOCTOR NAME]" caption="DOCTOR NAME" attribute="1" defaultMemberUniqueName="[Table6].[DOCTOR NAME].[All]" allUniqueName="[Table6].[DOCTOR NAME].[All]" dimensionUniqueName="[Table6]" displayFolder="" count="2" memberValueDatatype="130" unbalanced="0"/>
    <cacheHierarchy uniqueName="[Table6].[SPECIALIZATION]" caption="SPECIALIZATION" attribute="1" defaultMemberUniqueName="[Table6].[SPECIALIZATION].[All]" allUniqueName="[Table6].[SPECIALIZATION].[All]" dimensionUniqueName="[Table6]" displayFolder="" count="2" memberValueDatatype="130" unbalanced="0"/>
    <cacheHierarchy uniqueName="[Table6].[PHONE NUMBER]" caption="PHONE NUMBER" attribute="1" defaultMemberUniqueName="[Table6].[PHONE NUMBER].[All]" allUniqueName="[Table6].[PHONE NUMBER].[All]" dimensionUniqueName="[Table6]" displayFolder="" count="2" memberValueDatatype="5" unbalanced="0"/>
    <cacheHierarchy uniqueName="[Table6].[HOSPITAL BRANCH]" caption="HOSPITAL BRANCH" attribute="1" defaultMemberUniqueName="[Table6].[HOSPITAL BRANCH].[All]" allUniqueName="[Table6].[HOSPITAL BRANCH].[All]" dimensionUniqueName="[Table6]" displayFolder="" count="2" memberValueDatatype="130" unbalanced="0">
      <fieldsUsage count="2">
        <fieldUsage x="-1"/>
        <fieldUsage x="2"/>
      </fieldsUsage>
    </cacheHierarchy>
    <cacheHierarchy uniqueName="[Table6].[appointment_date]" caption="appointment_date" attribute="1" time="1" defaultMemberUniqueName="[Table6].[appointment_date].[All]" allUniqueName="[Table6].[appointment_date].[All]" dimensionUniqueName="[Table6]" displayFolder="" count="2" memberValueDatatype="7" unbalanced="0"/>
    <cacheHierarchy uniqueName="[Table6].[appointment_time]" caption="appointment_time" attribute="1" time="1" defaultMemberUniqueName="[Table6].[appointment_time].[All]" allUniqueName="[Table6].[appointment_time].[All]" dimensionUniqueName="[Table6]" displayFolder="" count="2" memberValueDatatype="7" unbalanced="0"/>
    <cacheHierarchy uniqueName="[Table6].[reason_for_visit]" caption="reason_for_visit" attribute="1" defaultMemberUniqueName="[Table6].[reason_for_visit].[All]" allUniqueName="[Table6].[reason_for_visit].[All]" dimensionUniqueName="[Table6]" displayFolder="" count="2" memberValueDatatype="130" unbalanced="0"/>
    <cacheHierarchy uniqueName="[Table6].[status]" caption="status" attribute="1" defaultMemberUniqueName="[Table6].[status].[All]" allUniqueName="[Table6].[status].[All]" dimensionUniqueName="[Table6]" displayFolder="" count="2" memberValueDatatype="130" unbalanced="0"/>
    <cacheHierarchy uniqueName="[Table6].[treatment_id]" caption="treatment_id" attribute="1" defaultMemberUniqueName="[Table6].[treatment_id].[All]" allUniqueName="[Table6].[treatment_id].[All]" dimensionUniqueName="[Table6]" displayFolder="" count="2" memberValueDatatype="130" unbalanced="0"/>
    <cacheHierarchy uniqueName="[Table6].[treatment_type]" caption="treatment_type" attribute="1" defaultMemberUniqueName="[Table6].[treatment_type].[All]" allUniqueName="[Table6].[treatment_type].[All]" dimensionUniqueName="[Table6]" displayFolder="" count="2" memberValueDatatype="130" unbalanced="0"/>
    <cacheHierarchy uniqueName="[Table6].[cost]" caption="cost" attribute="1" defaultMemberUniqueName="[Table6].[cost].[All]" allUniqueName="[Table6].[cost].[All]" dimensionUniqueName="[Table6]" displayFolder="" count="2" memberValueDatatype="5" unbalanced="0"/>
    <cacheHierarchy uniqueName="[Table6].[treatment_date]" caption="treatment_date" attribute="1" time="1" defaultMemberUniqueName="[Table6].[treatment_date].[All]" allUniqueName="[Table6].[treatment_date].[All]" dimensionUniqueName="[Table6]" displayFolder="" count="2" memberValueDatatype="7" unbalanced="0"/>
    <cacheHierarchy uniqueName="[Table6].[bill_id]" caption="bill_id" attribute="1" defaultMemberUniqueName="[Table6].[bill_id].[All]" allUniqueName="[Table6].[bill_id].[All]" dimensionUniqueName="[Table6]" displayFolder="" count="2" memberValueDatatype="130" unbalanced="0"/>
    <cacheHierarchy uniqueName="[Table6].[bill_date]" caption="bill_date" attribute="1" time="1" defaultMemberUniqueName="[Table6].[bill_date].[All]" allUniqueName="[Table6].[bill_date].[All]" dimensionUniqueName="[Table6]" displayFolder="" count="2" memberValueDatatype="7" unbalanced="0"/>
    <cacheHierarchy uniqueName="[Table6].[amount]" caption="amount" attribute="1" defaultMemberUniqueName="[Table6].[amount].[All]" allUniqueName="[Table6].[amount].[All]" dimensionUniqueName="[Table6]" displayFolder="" count="2" memberValueDatatype="5" unbalanced="0"/>
    <cacheHierarchy uniqueName="[Table6].[payment_method]" caption="payment_method" attribute="1" defaultMemberUniqueName="[Table6].[payment_method].[All]" allUniqueName="[Table6].[payment_method].[All]" dimensionUniqueName="[Table6]" displayFolder="" count="2" memberValueDatatype="130" unbalanced="0"/>
    <cacheHierarchy uniqueName="[Table6].[payment_status]" caption="payment_status" attribute="1" defaultMemberUniqueName="[Table6].[payment_status].[All]" allUniqueName="[Table6].[payment_status].[All]" dimensionUniqueName="[Table6]" displayFolder="" count="2" memberValueDatatype="130" unbalanced="0"/>
    <cacheHierarchy uniqueName="[treatments].[treatment_id]" caption="treatment_id" attribute="1" defaultMemberUniqueName="[treatments].[treatment_id].[All]" allUniqueName="[treatments].[treatment_id].[All]" dimensionUniqueName="[treatments]" displayFolder="" count="2" memberValueDatatype="130" unbalanced="0"/>
    <cacheHierarchy uniqueName="[treatments].[appointment_id]" caption="appointment_id" attribute="1" defaultMemberUniqueName="[treatments].[appointment_id].[All]" allUniqueName="[treatments].[appointment_id].[All]" dimensionUniqueName="[treatments]" displayFolder="" count="2"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treatment_date]" caption="treatment_date" attribute="1" time="1" defaultMemberUniqueName="[treatments].[treatment_date].[All]" allUniqueName="[treatments].[treatment_date].[All]" dimensionUniqueName="[treatments]" displayFolder="" count="2" memberValueDatatype="7" unbalanced="0"/>
    <cacheHierarchy uniqueName="[Measures].[__XL_Count Table6]" caption="__XL_Count Table6" measure="1" displayFolder="" measureGroup="Table6"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y uniqueName="[Measures].[Sum of cost]" caption="Sum of cost" measure="1" displayFolder="" measureGroup="treatments" count="0" oneField="1" hidden="1">
      <fieldsUsage count="1">
        <fieldUsage x="1"/>
      </fieldsUsage>
      <extLst>
        <ext xmlns:x15="http://schemas.microsoft.com/office/spreadsheetml/2010/11/main" uri="{B97F6D7D-B522-45F9-BDA1-12C45D357490}">
          <x15:cacheHierarchy aggregatedColumn="31"/>
        </ext>
      </extLst>
    </cacheHierarchy>
    <cacheHierarchy uniqueName="[Measures].[Average of cost]" caption="Average of cost" measure="1" displayFolder="" measureGroup="treatments"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Table6" uniqueName="[Table6]" caption="Table6"/>
    <dimension name="treatments" uniqueName="[treatments]" caption="treatments"/>
  </dimensions>
  <measureGroups count="2">
    <measureGroup name="Table6" caption="Table6"/>
    <measureGroup name="treatments" caption="treatment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0.410074189815" backgroundQuery="1" createdVersion="8" refreshedVersion="8" minRefreshableVersion="3" recordCount="0" supportSubquery="1" supportAdvancedDrill="1" xr:uid="{8BC387EB-0E10-44D8-A5E1-DF4D41121E28}">
  <cacheSource type="external" connectionId="6"/>
  <cacheFields count="3">
    <cacheField name="[treatments].[treatment_type].[treatment_type]" caption="treatment_type" numFmtId="0" hierarchy="29" level="1">
      <sharedItems count="5">
        <s v="Chemotherapy"/>
        <s v="ECG"/>
        <s v="MRI"/>
        <s v="Physiotherapy"/>
        <s v="X-Ray"/>
      </sharedItems>
    </cacheField>
    <cacheField name="[Measures].[Average of cost]" caption="Average of cost" numFmtId="0" hierarchy="37" level="32767"/>
    <cacheField name="[Table6].[HOSPITAL BRANCH].[HOSPITAL BRANCH]" caption="HOSPITAL BRANCH" numFmtId="0" hierarchy="13" level="1">
      <sharedItems containsSemiMixedTypes="0" containsNonDate="0" containsString="0"/>
    </cacheField>
  </cacheFields>
  <cacheHierarchies count="38">
    <cacheHierarchy uniqueName="[Table6].[appointment_id]" caption="appointment_id" attribute="1" defaultMemberUniqueName="[Table6].[appointment_id].[All]" allUniqueName="[Table6].[appointment_id].[All]" dimensionUniqueName="[Table6]" displayFolder="" count="0" memberValueDatatype="130" unbalanced="0"/>
    <cacheHierarchy uniqueName="[Table6].[patient_id]" caption="patient_id" attribute="1" defaultMemberUniqueName="[Table6].[patient_id].[All]" allUniqueName="[Table6].[patient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ATE OF BIRTH]" caption="DATE OF BIRTH" attribute="1" time="1" defaultMemberUniqueName="[Table6].[DATE OF BIRTH].[All]" allUniqueName="[Table6].[DATE OF BIRTH].[All]" dimensionUniqueName="[Table6]" displayFolder="" count="0" memberValueDatatype="7" unbalanced="0"/>
    <cacheHierarchy uniqueName="[Table6].[CONTACT NUMBER]" caption="CONTACT NUMBER" attribute="1" defaultMemberUniqueName="[Table6].[CONTACT NUMBER].[All]" allUniqueName="[Table6].[CONTACT NUMBER].[All]" dimensionUniqueName="[Table6]" displayFolder="" count="0" memberValueDatatype="5" unbalanced="0"/>
    <cacheHierarchy uniqueName="[Table6].[ADDRESS]" caption="ADDRESS" attribute="1" defaultMemberUniqueName="[Table6].[ADDRESS].[All]" allUniqueName="[Table6].[ADDRESS].[All]" dimensionUniqueName="[Table6]" displayFolder="" count="0" memberValueDatatype="130" unbalanced="0"/>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PATIENT EMAIL]" caption="PATIENT EMAIL" attribute="1" defaultMemberUniqueName="[Table6].[PATIENT EMAIL].[All]" allUniqueName="[Table6].[PATIENT EMAIL].[All]" dimensionUniqueName="[Table6]" displayFolder="" count="0" memberValueDatatype="130" unbalanced="0"/>
    <cacheHierarchy uniqueName="[Table6].[doctor_id]" caption="doctor_id" attribute="1" defaultMemberUniqueName="[Table6].[doctor_id].[All]" allUniqueName="[Table6].[doctor_id].[All]" dimensionUniqueName="[Table6]" displayFolder="" count="0" memberValueDatatype="130" unbalanced="0"/>
    <cacheHierarchy uniqueName="[Table6].[DOCTOR NAME]" caption="DOCTOR NAME" attribute="1" defaultMemberUniqueName="[Table6].[DOCTOR NAME].[All]" allUniqueName="[Table6].[DOCTOR NAME].[All]" dimensionUniqueName="[Table6]" displayFolder="" count="0" memberValueDatatype="130" unbalanced="0"/>
    <cacheHierarchy uniqueName="[Table6].[SPECIALIZATION]" caption="SPECIALIZATION" attribute="1" defaultMemberUniqueName="[Table6].[SPECIALIZATION].[All]" allUniqueName="[Table6].[SPECIALIZATION].[All]" dimensionUniqueName="[Table6]" displayFolder="" count="2" memberValueDatatype="130" unbalanced="0"/>
    <cacheHierarchy uniqueName="[Table6].[PHONE NUMBER]" caption="PHONE NUMBER" attribute="1" defaultMemberUniqueName="[Table6].[PHONE NUMBER].[All]" allUniqueName="[Table6].[PHONE NUMBER].[All]" dimensionUniqueName="[Table6]" displayFolder="" count="0" memberValueDatatype="5" unbalanced="0"/>
    <cacheHierarchy uniqueName="[Table6].[HOSPITAL BRANCH]" caption="HOSPITAL BRANCH" attribute="1" defaultMemberUniqueName="[Table6].[HOSPITAL BRANCH].[All]" allUniqueName="[Table6].[HOSPITAL BRANCH].[All]" dimensionUniqueName="[Table6]" displayFolder="" count="2" memberValueDatatype="130" unbalanced="0">
      <fieldsUsage count="2">
        <fieldUsage x="-1"/>
        <fieldUsage x="2"/>
      </fieldsUsage>
    </cacheHierarchy>
    <cacheHierarchy uniqueName="[Table6].[appointment_date]" caption="appointment_date" attribute="1" time="1" defaultMemberUniqueName="[Table6].[appointment_date].[All]" allUniqueName="[Table6].[appointment_date].[All]" dimensionUniqueName="[Table6]" displayFolder="" count="0" memberValueDatatype="7" unbalanced="0"/>
    <cacheHierarchy uniqueName="[Table6].[appointment_time]" caption="appointment_time" attribute="1" time="1" defaultMemberUniqueName="[Table6].[appointment_time].[All]" allUniqueName="[Table6].[appointment_time].[All]" dimensionUniqueName="[Table6]" displayFolder="" count="0" memberValueDatatype="7" unbalanced="0"/>
    <cacheHierarchy uniqueName="[Table6].[reason_for_visit]" caption="reason_for_visit" attribute="1" defaultMemberUniqueName="[Table6].[reason_for_visit].[All]" allUniqueName="[Table6].[reason_for_visit].[All]" dimensionUniqueName="[Table6]" displayFolder="" count="0" memberValueDatatype="130" unbalanced="0"/>
    <cacheHierarchy uniqueName="[Table6].[status]" caption="status" attribute="1" defaultMemberUniqueName="[Table6].[status].[All]" allUniqueName="[Table6].[status].[All]" dimensionUniqueName="[Table6]" displayFolder="" count="2" memberValueDatatype="130" unbalanced="0"/>
    <cacheHierarchy uniqueName="[Table6].[treatment_id]" caption="treatment_id" attribute="1" defaultMemberUniqueName="[Table6].[treatment_id].[All]" allUniqueName="[Table6].[treatment_id].[All]" dimensionUniqueName="[Table6]" displayFolder="" count="0" memberValueDatatype="130" unbalanced="0"/>
    <cacheHierarchy uniqueName="[Table6].[treatment_type]" caption="treatment_type" attribute="1" defaultMemberUniqueName="[Table6].[treatment_type].[All]" allUniqueName="[Table6].[treatment_type].[All]" dimensionUniqueName="[Table6]" displayFolder="" count="0" memberValueDatatype="130" unbalanced="0"/>
    <cacheHierarchy uniqueName="[Table6].[cost]" caption="cost" attribute="1" defaultMemberUniqueName="[Table6].[cost].[All]" allUniqueName="[Table6].[cost].[All]" dimensionUniqueName="[Table6]" displayFolder="" count="0" memberValueDatatype="5" unbalanced="0"/>
    <cacheHierarchy uniqueName="[Table6].[treatment_date]" caption="treatment_date" attribute="1" time="1" defaultMemberUniqueName="[Table6].[treatment_date].[All]" allUniqueName="[Table6].[treatment_date].[All]" dimensionUniqueName="[Table6]" displayFolder="" count="0" memberValueDatatype="7" unbalanced="0"/>
    <cacheHierarchy uniqueName="[Table6].[bill_id]" caption="bill_id" attribute="1" defaultMemberUniqueName="[Table6].[bill_id].[All]" allUniqueName="[Table6].[bill_id].[All]" dimensionUniqueName="[Table6]" displayFolder="" count="0" memberValueDatatype="130" unbalanced="0"/>
    <cacheHierarchy uniqueName="[Table6].[bill_date]" caption="bill_date" attribute="1" time="1" defaultMemberUniqueName="[Table6].[bill_date].[All]" allUniqueName="[Table6].[bill_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6].[payment_method]" caption="payment_method" attribute="1" defaultMemberUniqueName="[Table6].[payment_method].[All]" allUniqueName="[Table6].[payment_method].[All]" dimensionUniqueName="[Table6]" displayFolder="" count="0" memberValueDatatype="130" unbalanced="0"/>
    <cacheHierarchy uniqueName="[Table6].[payment_status]" caption="payment_status" attribute="1" defaultMemberUniqueName="[Table6].[payment_status].[All]" allUniqueName="[Table6].[payment_status].[All]" dimensionUniqueName="[Table6]" displayFolder="" count="2"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Measures].[__XL_Count Table6]" caption="__XL_Count Table6" measure="1" displayFolder="" measureGroup="Table6"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y uniqueName="[Measures].[Sum of cost]" caption="Sum of cost" measure="1" displayFolder="" measureGroup="treatments" count="0" hidden="1">
      <extLst>
        <ext xmlns:x15="http://schemas.microsoft.com/office/spreadsheetml/2010/11/main" uri="{B97F6D7D-B522-45F9-BDA1-12C45D357490}">
          <x15:cacheHierarchy aggregatedColumn="31"/>
        </ext>
      </extLst>
    </cacheHierarchy>
    <cacheHierarchy uniqueName="[Measures].[Average of cost]" caption="Average of cost" measure="1" displayFolder="" measureGroup="treatments" count="0" oneField="1" hidden="1">
      <fieldsUsage count="1">
        <fieldUsage x="1"/>
      </fieldsUsage>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Table6" uniqueName="[Table6]" caption="Table6"/>
    <dimension name="treatments" uniqueName="[treatments]" caption="treatments"/>
  </dimensions>
  <measureGroups count="2">
    <measureGroup name="Table6" caption="Table6"/>
    <measureGroup name="treatments" caption="treatment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0.40720173611" backgroundQuery="1" createdVersion="3" refreshedVersion="8" minRefreshableVersion="3" recordCount="0" supportSubquery="1" supportAdvancedDrill="1" xr:uid="{0A493740-B4CE-4224-9E80-3838BC7619B9}">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Table6].[appointment_id]" caption="appointment_id" attribute="1" defaultMemberUniqueName="[Table6].[appointment_id].[All]" allUniqueName="[Table6].[appointment_id].[All]" dimensionUniqueName="[Table6]" displayFolder="" count="0" memberValueDatatype="130" unbalanced="0"/>
    <cacheHierarchy uniqueName="[Table6].[patient_id]" caption="patient_id" attribute="1" defaultMemberUniqueName="[Table6].[patient_id].[All]" allUniqueName="[Table6].[patient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ATE OF BIRTH]" caption="DATE OF BIRTH" attribute="1" time="1" defaultMemberUniqueName="[Table6].[DATE OF BIRTH].[All]" allUniqueName="[Table6].[DATE OF BIRTH].[All]" dimensionUniqueName="[Table6]" displayFolder="" count="0" memberValueDatatype="7" unbalanced="0"/>
    <cacheHierarchy uniqueName="[Table6].[CONTACT NUMBER]" caption="CONTACT NUMBER" attribute="1" defaultMemberUniqueName="[Table6].[CONTACT NUMBER].[All]" allUniqueName="[Table6].[CONTACT NUMBER].[All]" dimensionUniqueName="[Table6]" displayFolder="" count="0" memberValueDatatype="5" unbalanced="0"/>
    <cacheHierarchy uniqueName="[Table6].[ADDRESS]" caption="ADDRESS" attribute="1" defaultMemberUniqueName="[Table6].[ADDRESS].[All]" allUniqueName="[Table6].[ADDRESS].[All]" dimensionUniqueName="[Table6]" displayFolder="" count="0" memberValueDatatype="130" unbalanced="0"/>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PATIENT EMAIL]" caption="PATIENT EMAIL" attribute="1" defaultMemberUniqueName="[Table6].[PATIENT EMAIL].[All]" allUniqueName="[Table6].[PATIENT EMAIL].[All]" dimensionUniqueName="[Table6]" displayFolder="" count="0" memberValueDatatype="130" unbalanced="0"/>
    <cacheHierarchy uniqueName="[Table6].[doctor_id]" caption="doctor_id" attribute="1" defaultMemberUniqueName="[Table6].[doctor_id].[All]" allUniqueName="[Table6].[doctor_id].[All]" dimensionUniqueName="[Table6]" displayFolder="" count="0" memberValueDatatype="130" unbalanced="0"/>
    <cacheHierarchy uniqueName="[Table6].[DOCTOR NAME]" caption="DOCTOR NAME" attribute="1" defaultMemberUniqueName="[Table6].[DOCTOR NAME].[All]" allUniqueName="[Table6].[DOCTOR NAME].[All]" dimensionUniqueName="[Table6]" displayFolder="" count="0" memberValueDatatype="130" unbalanced="0"/>
    <cacheHierarchy uniqueName="[Table6].[SPECIALIZATION]" caption="SPECIALIZATION" attribute="1" defaultMemberUniqueName="[Table6].[SPECIALIZATION].[All]" allUniqueName="[Table6].[SPECIALIZATION].[All]" dimensionUniqueName="[Table6]" displayFolder="" count="2" memberValueDatatype="130" unbalanced="0"/>
    <cacheHierarchy uniqueName="[Table6].[PHONE NUMBER]" caption="PHONE NUMBER" attribute="1" defaultMemberUniqueName="[Table6].[PHONE NUMBER].[All]" allUniqueName="[Table6].[PHONE NUMBER].[All]" dimensionUniqueName="[Table6]" displayFolder="" count="0" memberValueDatatype="5" unbalanced="0"/>
    <cacheHierarchy uniqueName="[Table6].[HOSPITAL BRANCH]" caption="HOSPITAL BRANCH" attribute="1" defaultMemberUniqueName="[Table6].[HOSPITAL BRANCH].[All]" allUniqueName="[Table6].[HOSPITAL BRANCH].[All]" dimensionUniqueName="[Table6]" displayFolder="" count="2" memberValueDatatype="130" unbalanced="0"/>
    <cacheHierarchy uniqueName="[Table6].[appointment_date]" caption="appointment_date" attribute="1" time="1" defaultMemberUniqueName="[Table6].[appointment_date].[All]" allUniqueName="[Table6].[appointment_date].[All]" dimensionUniqueName="[Table6]" displayFolder="" count="0" memberValueDatatype="7" unbalanced="0"/>
    <cacheHierarchy uniqueName="[Table6].[appointment_time]" caption="appointment_time" attribute="1" time="1" defaultMemberUniqueName="[Table6].[appointment_time].[All]" allUniqueName="[Table6].[appointment_time].[All]" dimensionUniqueName="[Table6]" displayFolder="" count="0" memberValueDatatype="7" unbalanced="0"/>
    <cacheHierarchy uniqueName="[Table6].[reason_for_visit]" caption="reason_for_visit" attribute="1" defaultMemberUniqueName="[Table6].[reason_for_visit].[All]" allUniqueName="[Table6].[reason_for_visit].[All]" dimensionUniqueName="[Table6]" displayFolder="" count="0" memberValueDatatype="130" unbalanced="0"/>
    <cacheHierarchy uniqueName="[Table6].[status]" caption="status" attribute="1" defaultMemberUniqueName="[Table6].[status].[All]" allUniqueName="[Table6].[status].[All]" dimensionUniqueName="[Table6]" displayFolder="" count="2" memberValueDatatype="130" unbalanced="0"/>
    <cacheHierarchy uniqueName="[Table6].[treatment_id]" caption="treatment_id" attribute="1" defaultMemberUniqueName="[Table6].[treatment_id].[All]" allUniqueName="[Table6].[treatment_id].[All]" dimensionUniqueName="[Table6]" displayFolder="" count="0" memberValueDatatype="130" unbalanced="0"/>
    <cacheHierarchy uniqueName="[Table6].[treatment_type]" caption="treatment_type" attribute="1" defaultMemberUniqueName="[Table6].[treatment_type].[All]" allUniqueName="[Table6].[treatment_type].[All]" dimensionUniqueName="[Table6]" displayFolder="" count="0" memberValueDatatype="130" unbalanced="0"/>
    <cacheHierarchy uniqueName="[Table6].[cost]" caption="cost" attribute="1" defaultMemberUniqueName="[Table6].[cost].[All]" allUniqueName="[Table6].[cost].[All]" dimensionUniqueName="[Table6]" displayFolder="" count="0" memberValueDatatype="5" unbalanced="0"/>
    <cacheHierarchy uniqueName="[Table6].[treatment_date]" caption="treatment_date" attribute="1" time="1" defaultMemberUniqueName="[Table6].[treatment_date].[All]" allUniqueName="[Table6].[treatment_date].[All]" dimensionUniqueName="[Table6]" displayFolder="" count="0" memberValueDatatype="7" unbalanced="0"/>
    <cacheHierarchy uniqueName="[Table6].[bill_id]" caption="bill_id" attribute="1" defaultMemberUniqueName="[Table6].[bill_id].[All]" allUniqueName="[Table6].[bill_id].[All]" dimensionUniqueName="[Table6]" displayFolder="" count="0" memberValueDatatype="130" unbalanced="0"/>
    <cacheHierarchy uniqueName="[Table6].[bill_date]" caption="bill_date" attribute="1" time="1" defaultMemberUniqueName="[Table6].[bill_date].[All]" allUniqueName="[Table6].[bill_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6].[payment_method]" caption="payment_method" attribute="1" defaultMemberUniqueName="[Table6].[payment_method].[All]" allUniqueName="[Table6].[payment_method].[All]" dimensionUniqueName="[Table6]" displayFolder="" count="0" memberValueDatatype="130" unbalanced="0"/>
    <cacheHierarchy uniqueName="[Table6].[payment_status]" caption="payment_status" attribute="1" defaultMemberUniqueName="[Table6].[payment_status].[All]" allUniqueName="[Table6].[payment_status].[All]" dimensionUniqueName="[Table6]" displayFolder="" count="2"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Measures].[__XL_Count Table6]" caption="__XL_Count Table6" measure="1" displayFolder="" measureGroup="Table6"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y uniqueName="[Measures].[Sum of cost]" caption="Sum of cost" measure="1" displayFolder="" measureGroup="treatments" count="0" hidden="1">
      <extLst>
        <ext xmlns:x15="http://schemas.microsoft.com/office/spreadsheetml/2010/11/main" uri="{B97F6D7D-B522-45F9-BDA1-12C45D357490}">
          <x15:cacheHierarchy aggregatedColumn="31"/>
        </ext>
      </extLst>
    </cacheHierarchy>
    <cacheHierarchy uniqueName="[Measures].[Average of cost]" caption="Average of cost" measure="1" displayFolder="" measureGroup="treatment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0976743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001"/>
    <s v="P034"/>
    <s v="Alex Smith"/>
    <s v="F"/>
    <d v="1950-01-26T00:00:00"/>
    <n v="8374657733"/>
    <s v="321 Maple Dr"/>
    <d v="2023-06-18T00:00:00"/>
    <s v="alex.smith@mail.com"/>
    <s v="D009"/>
    <s v="Sarah Smith"/>
    <s v="Pediatrics"/>
    <n v="7387087517"/>
    <s v="Central Hospital"/>
    <d v="2023-08-09T00:00:00"/>
    <d v="1899-12-30T15:15:00"/>
    <s v="Therapy"/>
    <x v="0"/>
    <s v="T001"/>
    <s v="Chemotherapy"/>
    <n v="3941.97"/>
    <d v="2023-08-09T00:00:00"/>
    <s v="B001"/>
    <d v="2023-08-09T00:00:00"/>
    <n v="3941.97"/>
    <s v="Insurance"/>
    <x v="0"/>
  </r>
  <r>
    <s v="A002"/>
    <s v="P032"/>
    <s v="Alex Moore"/>
    <s v="M"/>
    <d v="1981-01-08T00:00:00"/>
    <n v="8102183595"/>
    <s v="123 Elm St"/>
    <d v="2021-10-02T00:00:00"/>
    <s v="alex.moore@mail.com"/>
    <s v="D004"/>
    <s v="David Jones"/>
    <s v="Pediatrics"/>
    <n v="6594221991"/>
    <s v="Central Hospital"/>
    <d v="2023-06-09T00:00:00"/>
    <d v="1899-12-30T14:30:00"/>
    <s v="Therapy"/>
    <x v="1"/>
    <s v="T002"/>
    <s v="MRI"/>
    <n v="4158.4399999999996"/>
    <d v="2023-06-09T00:00:00"/>
    <s v="B002"/>
    <d v="2023-06-09T00:00:00"/>
    <n v="4158.4399999999996"/>
    <s v="Insurance"/>
    <x v="1"/>
  </r>
  <r>
    <s v="A003"/>
    <s v="P048"/>
    <s v="Emily Miller"/>
    <s v="M"/>
    <d v="1983-03-24T00:00:00"/>
    <n v="8720989381"/>
    <s v="123 Elm St"/>
    <d v="2023-06-19T00:00:00"/>
    <s v="emily.miller@mail.com"/>
    <s v="D004"/>
    <s v="David Jones"/>
    <s v="Pediatrics"/>
    <n v="6594221991"/>
    <s v="Central Hospital"/>
    <d v="2023-06-28T00:00:00"/>
    <d v="1899-12-30T08:00:00"/>
    <s v="Consultation"/>
    <x v="2"/>
    <s v="T003"/>
    <s v="MRI"/>
    <n v="3731.55"/>
    <d v="2023-06-28T00:00:00"/>
    <s v="B003"/>
    <d v="2023-06-28T00:00:00"/>
    <n v="3731.55"/>
    <s v="Insurance"/>
    <x v="1"/>
  </r>
  <r>
    <s v="A004"/>
    <s v="P025"/>
    <s v="Robert Wilson"/>
    <s v="M"/>
    <d v="1966-08-14T00:00:00"/>
    <n v="7482069727"/>
    <s v="123 Elm St"/>
    <d v="2021-09-09T00:00:00"/>
    <s v="robert.wilson@mail.com"/>
    <s v="D006"/>
    <s v="Alex Davis"/>
    <s v="Pediatrics"/>
    <n v="6570137231"/>
    <s v="Central Hospital"/>
    <d v="2023-09-01T00:00:00"/>
    <d v="1899-12-30T09:15:00"/>
    <s v="Consultation"/>
    <x v="2"/>
    <s v="T004"/>
    <s v="MRI"/>
    <n v="4799.8599999999997"/>
    <d v="2023-09-01T00:00:00"/>
    <s v="B004"/>
    <d v="2023-09-01T00:00:00"/>
    <n v="4799.8599999999997"/>
    <s v="Insurance"/>
    <x v="2"/>
  </r>
  <r>
    <s v="A005"/>
    <s v="P040"/>
    <s v="Emily Williams"/>
    <s v="M"/>
    <d v="1972-05-30T00:00:00"/>
    <n v="7587653815"/>
    <s v="456 Oak Ave"/>
    <d v="2021-10-16T00:00:00"/>
    <s v="emily.williams@mail.com"/>
    <s v="D003"/>
    <s v="Jane Smith"/>
    <s v="Pediatrics"/>
    <n v="8737740598"/>
    <s v="Eastside Clinic"/>
    <d v="2023-07-06T00:00:00"/>
    <d v="1899-12-30T12:45:00"/>
    <s v="Emergency"/>
    <x v="1"/>
    <s v="T005"/>
    <s v="ECG"/>
    <n v="582.04999999999995"/>
    <d v="2023-07-06T00:00:00"/>
    <s v="B005"/>
    <d v="2023-07-06T00:00:00"/>
    <n v="582.04999999999995"/>
    <s v="Credit Card"/>
    <x v="0"/>
  </r>
  <r>
    <s v="A006"/>
    <s v="P045"/>
    <s v="Linda Miller"/>
    <s v="F"/>
    <d v="1966-04-25T00:00:00"/>
    <n v="7579616535"/>
    <s v="321 Maple Dr"/>
    <d v="2021-01-23T00:00:00"/>
    <s v="linda.miller@mail.com"/>
    <s v="D006"/>
    <s v="Alex Davis"/>
    <s v="Pediatrics"/>
    <n v="6570137231"/>
    <s v="Central Hospital"/>
    <d v="2023-06-19T00:00:00"/>
    <d v="1899-12-30T16:15:00"/>
    <s v="Checkup"/>
    <x v="0"/>
    <s v="T006"/>
    <s v="Chemotherapy"/>
    <n v="1381"/>
    <d v="2023-06-19T00:00:00"/>
    <s v="B006"/>
    <d v="2023-06-19T00:00:00"/>
    <n v="1381"/>
    <s v="Insurance"/>
    <x v="0"/>
  </r>
  <r>
    <s v="A007"/>
    <s v="P001"/>
    <s v="David Williams"/>
    <s v="F"/>
    <d v="1955-06-04T00:00:00"/>
    <n v="6939585183"/>
    <s v="789 Pine Rd"/>
    <d v="2022-06-23T00:00:00"/>
    <s v="david.williams@mail.com"/>
    <s v="D007"/>
    <s v="Robert Davis"/>
    <s v="Oncology"/>
    <n v="8217493115"/>
    <s v="Westside Clinic"/>
    <d v="2023-04-09T00:00:00"/>
    <d v="1899-12-30T10:30:00"/>
    <s v="Consultation"/>
    <x v="0"/>
    <s v="T007"/>
    <s v="Chemotherapy"/>
    <n v="534.03"/>
    <d v="2023-04-09T00:00:00"/>
    <s v="B007"/>
    <d v="2023-04-09T00:00:00"/>
    <n v="534.03"/>
    <s v="Cash"/>
    <x v="2"/>
  </r>
  <r>
    <s v="A008"/>
    <s v="P016"/>
    <s v="Michael Taylor"/>
    <s v="M"/>
    <d v="2000-07-22T00:00:00"/>
    <n v="7223380592"/>
    <s v="789 Pine Rd"/>
    <d v="2021-07-23T00:00:00"/>
    <s v="michael.taylor@mail.com"/>
    <s v="D010"/>
    <s v="Linda Wilson"/>
    <s v="Oncology"/>
    <n v="6176383634"/>
    <s v="Eastside Clinic"/>
    <d v="2023-05-24T00:00:00"/>
    <d v="1899-12-30T08:45:00"/>
    <s v="Consultation"/>
    <x v="2"/>
    <s v="T008"/>
    <s v="Physiotherapy"/>
    <n v="3413.64"/>
    <d v="2023-05-24T00:00:00"/>
    <s v="B008"/>
    <d v="2023-05-24T00:00:00"/>
    <n v="3413.64"/>
    <s v="Cash"/>
    <x v="2"/>
  </r>
  <r>
    <s v="A009"/>
    <s v="P039"/>
    <s v="Jane Wilson"/>
    <s v="F"/>
    <d v="1950-12-12T00:00:00"/>
    <n v="9271131338"/>
    <s v="789 Pine Rd"/>
    <d v="2021-03-09T00:00:00"/>
    <s v="jane.wilson@mail.com"/>
    <s v="D010"/>
    <s v="Linda Wilson"/>
    <s v="Oncology"/>
    <n v="6176383634"/>
    <s v="Eastside Clinic"/>
    <d v="2023-03-05T00:00:00"/>
    <d v="1899-12-30T13:45:00"/>
    <s v="Follow-up"/>
    <x v="0"/>
    <s v="T009"/>
    <s v="Physiotherapy"/>
    <n v="4541.1400000000003"/>
    <d v="2023-03-05T00:00:00"/>
    <s v="B009"/>
    <d v="2023-03-05T00:00:00"/>
    <n v="4541.1400000000003"/>
    <s v="Credit Card"/>
    <x v="1"/>
  </r>
  <r>
    <s v="A010"/>
    <s v="P005"/>
    <s v="David Wilson"/>
    <s v="M"/>
    <d v="1960-06-23T00:00:00"/>
    <n v="7734463155"/>
    <s v="123 Elm St"/>
    <d v="2021-09-29T00:00:00"/>
    <s v="david.wilson@mail.com"/>
    <s v="D003"/>
    <s v="Jane Smith"/>
    <s v="Pediatrics"/>
    <n v="8737740598"/>
    <s v="Eastside Clinic"/>
    <d v="2023-01-13T00:00:00"/>
    <d v="1899-12-30T15:30:00"/>
    <s v="Therapy"/>
    <x v="3"/>
    <s v="T010"/>
    <s v="Physiotherapy"/>
    <n v="1595.67"/>
    <d v="2023-01-13T00:00:00"/>
    <s v="B010"/>
    <d v="2023-01-13T00:00:00"/>
    <n v="1595.67"/>
    <s v="Cash"/>
    <x v="1"/>
  </r>
  <r>
    <s v="A011"/>
    <s v="P022"/>
    <s v="John Brown"/>
    <s v="M"/>
    <d v="1955-05-10T00:00:00"/>
    <n v="6221099573"/>
    <s v="321 Maple Dr"/>
    <d v="2021-05-11T00:00:00"/>
    <s v="john.brown@mail.com"/>
    <s v="D007"/>
    <s v="Robert Davis"/>
    <s v="Oncology"/>
    <n v="8217493115"/>
    <s v="Westside Clinic"/>
    <d v="2023-11-12T00:00:00"/>
    <d v="1899-12-30T16:00:00"/>
    <s v="Checkup"/>
    <x v="1"/>
    <s v="T011"/>
    <s v="MRI"/>
    <n v="4671.66"/>
    <d v="2023-11-12T00:00:00"/>
    <s v="B011"/>
    <d v="2023-11-12T00:00:00"/>
    <n v="4671.66"/>
    <s v="Cash"/>
    <x v="2"/>
  </r>
  <r>
    <s v="A012"/>
    <s v="P029"/>
    <s v="David Smith"/>
    <s v="M"/>
    <d v="2005-05-15T00:00:00"/>
    <n v="8923607677"/>
    <s v="789 Pine Rd"/>
    <d v="2023-04-19T00:00:00"/>
    <s v="david.smith@mail.com"/>
    <s v="D003"/>
    <s v="Jane Smith"/>
    <s v="Pediatrics"/>
    <n v="8737740598"/>
    <s v="Eastside Clinic"/>
    <d v="2023-05-07T00:00:00"/>
    <d v="1899-12-30T10:00:00"/>
    <s v="Follow-up"/>
    <x v="3"/>
    <s v="T012"/>
    <s v="Chemotherapy"/>
    <n v="771.2"/>
    <d v="2023-05-07T00:00:00"/>
    <s v="B012"/>
    <d v="2023-05-07T00:00:00"/>
    <n v="771.2"/>
    <s v="Insurance"/>
    <x v="0"/>
  </r>
  <r>
    <s v="A013"/>
    <s v="P003"/>
    <s v="Laura Jones"/>
    <s v="M"/>
    <d v="1977-08-21T00:00:00"/>
    <n v="8397029847"/>
    <s v="321 Maple Dr"/>
    <d v="2022-02-07T00:00:00"/>
    <s v="laura.jones@mail.com"/>
    <s v="D002"/>
    <s v="Jane Davis"/>
    <s v="Pediatrics"/>
    <n v="9004382050"/>
    <s v="Eastside Clinic"/>
    <d v="2023-08-16T00:00:00"/>
    <d v="1899-12-30T12:00:00"/>
    <s v="Emergency"/>
    <x v="0"/>
    <s v="T013"/>
    <s v="MRI"/>
    <n v="4704.96"/>
    <d v="2023-08-16T00:00:00"/>
    <s v="B013"/>
    <d v="2023-08-16T00:00:00"/>
    <n v="4704.96"/>
    <s v="Cash"/>
    <x v="1"/>
  </r>
  <r>
    <s v="A014"/>
    <s v="P012"/>
    <s v="Laura Davis"/>
    <s v="F"/>
    <d v="1991-12-08T00:00:00"/>
    <n v="8135666049"/>
    <s v="321 Maple Dr"/>
    <d v="2023-04-27T00:00:00"/>
    <s v="laura.davis@mail.com"/>
    <s v="D010"/>
    <s v="Linda Wilson"/>
    <s v="Oncology"/>
    <n v="6176383634"/>
    <s v="Eastside Clinic"/>
    <d v="2023-05-25T00:00:00"/>
    <d v="1899-12-30T10:30:00"/>
    <s v="Emergency"/>
    <x v="2"/>
    <s v="T014"/>
    <s v="ECG"/>
    <n v="2082.3000000000002"/>
    <d v="2023-05-25T00:00:00"/>
    <s v="B014"/>
    <d v="2023-05-25T00:00:00"/>
    <n v="2082.3000000000002"/>
    <s v="Credit Card"/>
    <x v="1"/>
  </r>
  <r>
    <s v="A015"/>
    <s v="P026"/>
    <s v="John Taylor"/>
    <s v="M"/>
    <d v="2003-11-28T00:00:00"/>
    <n v="9900972256"/>
    <s v="123 Elm St"/>
    <d v="2021-05-13T00:00:00"/>
    <s v="john.taylor@mail.com"/>
    <s v="D004"/>
    <s v="David Jones"/>
    <s v="Pediatrics"/>
    <n v="6594221991"/>
    <s v="Central Hospital"/>
    <d v="2023-01-15T00:00:00"/>
    <d v="1899-12-30T17:15:00"/>
    <s v="Consultation"/>
    <x v="1"/>
    <s v="T015"/>
    <s v="Physiotherapy"/>
    <n v="956.39"/>
    <d v="2023-01-15T00:00:00"/>
    <s v="B015"/>
    <d v="2023-01-15T00:00:00"/>
    <n v="956.39"/>
    <s v="Insurance"/>
    <x v="0"/>
  </r>
  <r>
    <s v="A016"/>
    <s v="P016"/>
    <s v="Michael Taylor"/>
    <s v="M"/>
    <d v="2000-07-22T00:00:00"/>
    <n v="7223380592"/>
    <s v="789 Pine Rd"/>
    <d v="2021-07-23T00:00:00"/>
    <s v="michael.taylor@mail.com"/>
    <s v="D008"/>
    <s v="Linda Brown"/>
    <s v="Dermatology"/>
    <n v="9069162601"/>
    <s v="Westside Clinic"/>
    <d v="2023-06-30T00:00:00"/>
    <d v="1899-12-30T11:00:00"/>
    <s v="Consultation"/>
    <x v="0"/>
    <s v="T016"/>
    <s v="MRI"/>
    <n v="2686.42"/>
    <d v="2023-06-30T00:00:00"/>
    <s v="B016"/>
    <d v="2023-06-30T00:00:00"/>
    <n v="2686.42"/>
    <s v="Insurance"/>
    <x v="1"/>
  </r>
  <r>
    <s v="A017"/>
    <s v="P037"/>
    <s v="Robert Williams"/>
    <s v="M"/>
    <d v="1999-02-05T00:00:00"/>
    <n v="8886800195"/>
    <s v="456 Oak Ave"/>
    <d v="2021-09-30T00:00:00"/>
    <s v="robert.williams@mail.com"/>
    <s v="D009"/>
    <s v="Sarah Smith"/>
    <s v="Pediatrics"/>
    <n v="7387087517"/>
    <s v="Central Hospital"/>
    <d v="2023-07-11T00:00:00"/>
    <d v="1899-12-30T17:00:00"/>
    <s v="Emergency"/>
    <x v="0"/>
    <s v="T017"/>
    <s v="MRI"/>
    <n v="1655.49"/>
    <d v="2023-07-11T00:00:00"/>
    <s v="B017"/>
    <d v="2023-07-11T00:00:00"/>
    <n v="1655.49"/>
    <s v="Credit Card"/>
    <x v="0"/>
  </r>
  <r>
    <s v="A018"/>
    <s v="P022"/>
    <s v="John Brown"/>
    <s v="M"/>
    <d v="1955-05-10T00:00:00"/>
    <n v="6221099573"/>
    <s v="321 Maple Dr"/>
    <d v="2021-05-11T00:00:00"/>
    <s v="john.brown@mail.com"/>
    <s v="D007"/>
    <s v="Robert Davis"/>
    <s v="Oncology"/>
    <n v="8217493115"/>
    <s v="Westside Clinic"/>
    <d v="2023-11-14T00:00:00"/>
    <d v="1899-12-30T09:45:00"/>
    <s v="Consultation"/>
    <x v="2"/>
    <s v="T018"/>
    <s v="ECG"/>
    <n v="1781.93"/>
    <d v="2023-11-14T00:00:00"/>
    <s v="B018"/>
    <d v="2023-11-14T00:00:00"/>
    <n v="1781.93"/>
    <s v="Insurance"/>
    <x v="0"/>
  </r>
  <r>
    <s v="A019"/>
    <s v="P029"/>
    <s v="David Jones"/>
    <s v="M"/>
    <d v="2005-05-15T00:00:00"/>
    <n v="8923607677"/>
    <s v="789 Pine Rd"/>
    <d v="2023-04-19T00:00:00"/>
    <s v="david.smith@mail.com"/>
    <s v="D001"/>
    <s v="David Taylor"/>
    <s v="Dermatology"/>
    <n v="8322010158"/>
    <s v="Westside Clinic"/>
    <d v="2023-02-06T00:00:00"/>
    <d v="1899-12-30T15:30:00"/>
    <s v="Checkup"/>
    <x v="2"/>
    <s v="T019"/>
    <s v="X-Ray"/>
    <n v="1882.8"/>
    <d v="2023-02-06T00:00:00"/>
    <s v="B019"/>
    <d v="2023-02-06T00:00:00"/>
    <n v="1882.8"/>
    <s v="Insurance"/>
    <x v="0"/>
  </r>
  <r>
    <s v="A020"/>
    <s v="P014"/>
    <s v="Alex Taylor"/>
    <s v="M"/>
    <d v="1968-02-27T00:00:00"/>
    <n v="7292262512"/>
    <s v="789 Pine Rd"/>
    <d v="2023-12-12T00:00:00"/>
    <s v="alex.taylor@mail.com"/>
    <s v="D003"/>
    <s v="Jane Smith"/>
    <s v="Pediatrics"/>
    <n v="8737740598"/>
    <s v="Eastside Clinic"/>
    <d v="2023-12-05T00:00:00"/>
    <d v="1899-12-30T15:15:00"/>
    <s v="Consultation"/>
    <x v="3"/>
    <s v="T020"/>
    <s v="Chemotherapy"/>
    <n v="4113.62"/>
    <d v="2023-12-05T00:00:00"/>
    <s v="B020"/>
    <d v="2023-12-05T00:00:00"/>
    <n v="4113.62"/>
    <s v="Credit Card"/>
    <x v="2"/>
  </r>
  <r>
    <s v="A021"/>
    <s v="P028"/>
    <s v="Alex Moore"/>
    <s v="M"/>
    <d v="1993-04-13T00:00:00"/>
    <n v="7028910482"/>
    <s v="321 Maple Dr"/>
    <d v="2023-05-20T00:00:00"/>
    <s v="alex.moore@mail.com"/>
    <s v="D009"/>
    <s v="Sarah Smith"/>
    <s v="Pediatrics"/>
    <n v="7387087517"/>
    <s v="Central Hospital"/>
    <d v="2023-04-24T00:00:00"/>
    <d v="1899-12-30T10:00:00"/>
    <s v="Therapy"/>
    <x v="1"/>
    <s v="T021"/>
    <s v="X-Ray"/>
    <n v="2926.23"/>
    <d v="2023-04-24T00:00:00"/>
    <s v="B021"/>
    <d v="2023-04-24T00:00:00"/>
    <n v="2926.23"/>
    <s v="Insurance"/>
    <x v="2"/>
  </r>
  <r>
    <s v="A022"/>
    <s v="P005"/>
    <s v="David Wilson"/>
    <s v="M"/>
    <d v="1960-06-23T00:00:00"/>
    <n v="7734463155"/>
    <s v="123 Elm St"/>
    <d v="2021-09-29T00:00:00"/>
    <s v="david.wilson@mail.com"/>
    <s v="D001"/>
    <s v="David Taylor"/>
    <s v="Dermatology"/>
    <n v="8322010158"/>
    <s v="Westside Clinic"/>
    <d v="2023-11-14T00:00:00"/>
    <d v="1899-12-30T13:00:00"/>
    <s v="Consultation"/>
    <x v="1"/>
    <s v="T022"/>
    <s v="Physiotherapy"/>
    <n v="1900.88"/>
    <d v="2023-11-14T00:00:00"/>
    <s v="B022"/>
    <d v="2023-11-14T00:00:00"/>
    <n v="1900.88"/>
    <s v="Credit Card"/>
    <x v="2"/>
  </r>
  <r>
    <s v="A023"/>
    <s v="P047"/>
    <s v="Jane Moore"/>
    <s v="M"/>
    <d v="1995-12-13T00:00:00"/>
    <n v="8715732851"/>
    <s v="321 Maple Dr"/>
    <d v="2022-05-20T00:00:00"/>
    <s v="jane.moore@mail.com"/>
    <s v="D009"/>
    <s v="Sarah Smith"/>
    <s v="Pediatrics"/>
    <n v="7387087517"/>
    <s v="Central Hospital"/>
    <d v="2023-05-09T00:00:00"/>
    <d v="1899-12-30T14:30:00"/>
    <s v="Follow-up"/>
    <x v="2"/>
    <s v="T023"/>
    <s v="MRI"/>
    <n v="3246.5"/>
    <d v="2023-05-09T00:00:00"/>
    <s v="B023"/>
    <d v="2023-05-09T00:00:00"/>
    <n v="3246.5"/>
    <s v="Credit Card"/>
    <x v="0"/>
  </r>
  <r>
    <s v="A024"/>
    <s v="P049"/>
    <s v="David Moore"/>
    <s v="M"/>
    <d v="1972-11-26T00:00:00"/>
    <n v="7712937941"/>
    <s v="321 Maple Dr"/>
    <d v="2023-06-14T00:00:00"/>
    <s v="david.moore@mail.com"/>
    <s v="D008"/>
    <s v="Linda Brown"/>
    <s v="Dermatology"/>
    <n v="9069162601"/>
    <s v="Westside Clinic"/>
    <d v="2023-06-21T00:00:00"/>
    <d v="1899-12-30T08:00:00"/>
    <s v="Checkup"/>
    <x v="3"/>
    <s v="T024"/>
    <s v="ECG"/>
    <n v="3722.68"/>
    <d v="2023-06-21T00:00:00"/>
    <s v="B024"/>
    <d v="2023-06-21T00:00:00"/>
    <n v="3722.68"/>
    <s v="Cash"/>
    <x v="0"/>
  </r>
  <r>
    <s v="A025"/>
    <s v="P030"/>
    <s v="Emily Moore"/>
    <s v="M"/>
    <d v="1964-12-23T00:00:00"/>
    <n v="6622318721"/>
    <s v="456 Oak Ave"/>
    <d v="2021-08-07T00:00:00"/>
    <s v="emily.moore@mail.com"/>
    <s v="D001"/>
    <s v="David Taylor"/>
    <s v="Dermatology"/>
    <n v="8322010158"/>
    <s v="Westside Clinic"/>
    <d v="2023-02-25T00:00:00"/>
    <d v="1899-12-30T08:00:00"/>
    <s v="Follow-up"/>
    <x v="1"/>
    <s v="T025"/>
    <s v="ECG"/>
    <n v="1726.81"/>
    <d v="2023-02-25T00:00:00"/>
    <s v="B025"/>
    <d v="2023-02-25T00:00:00"/>
    <n v="1726.81"/>
    <s v="Cash"/>
    <x v="2"/>
  </r>
  <r>
    <s v="A026"/>
    <s v="P046"/>
    <s v="Michael Taylor"/>
    <s v="F"/>
    <d v="1986-09-01T00:00:00"/>
    <n v="8019925828"/>
    <s v="456 Oak Ave"/>
    <d v="2021-07-31T00:00:00"/>
    <s v="michael.taylor@mail.com"/>
    <s v="D006"/>
    <s v="Alex Davis"/>
    <s v="Pediatrics"/>
    <n v="6570137231"/>
    <s v="Central Hospital"/>
    <d v="2023-03-17T00:00:00"/>
    <d v="1899-12-30T14:15:00"/>
    <s v="Follow-up"/>
    <x v="2"/>
    <s v="T026"/>
    <s v="Chemotherapy"/>
    <n v="2360.9699999999998"/>
    <d v="2023-03-17T00:00:00"/>
    <s v="B026"/>
    <d v="2023-03-17T00:00:00"/>
    <n v="2360.9699999999998"/>
    <s v="Insurance"/>
    <x v="1"/>
  </r>
  <r>
    <s v="A027"/>
    <s v="P005"/>
    <s v="David Wilson"/>
    <s v="M"/>
    <d v="1960-06-23T00:00:00"/>
    <n v="7734463155"/>
    <s v="123 Elm St"/>
    <d v="2021-09-29T00:00:00"/>
    <s v="david.wilson@mail.com"/>
    <s v="D005"/>
    <s v="Sarah Taylor"/>
    <s v="Dermatology"/>
    <n v="9118538547"/>
    <s v="Central Hospital"/>
    <d v="2023-11-14T00:00:00"/>
    <d v="1899-12-30T12:45:00"/>
    <s v="Therapy"/>
    <x v="0"/>
    <s v="T027"/>
    <s v="X-Ray"/>
    <n v="1048.49"/>
    <d v="2023-11-14T00:00:00"/>
    <s v="B027"/>
    <d v="2023-11-14T00:00:00"/>
    <n v="1048.49"/>
    <s v="Insurance"/>
    <x v="0"/>
  </r>
  <r>
    <s v="A028"/>
    <s v="P012"/>
    <s v="Laura Davis"/>
    <s v="F"/>
    <d v="1991-12-08T00:00:00"/>
    <n v="8135666049"/>
    <s v="321 Maple Dr"/>
    <d v="2023-04-27T00:00:00"/>
    <s v="laura.davis@mail.com"/>
    <s v="D006"/>
    <s v="Alex Davis"/>
    <s v="Pediatrics"/>
    <n v="6570137231"/>
    <s v="Central Hospital"/>
    <d v="2023-10-29T00:00:00"/>
    <d v="1899-12-30T15:30:00"/>
    <s v="Checkup"/>
    <x v="1"/>
    <s v="T028"/>
    <s v="Chemotherapy"/>
    <n v="1315.17"/>
    <d v="2023-10-29T00:00:00"/>
    <s v="B028"/>
    <d v="2023-10-29T00:00:00"/>
    <n v="1315.17"/>
    <s v="Credit Card"/>
    <x v="1"/>
  </r>
  <r>
    <s v="A029"/>
    <s v="P016"/>
    <s v="Michael Taylor"/>
    <s v="M"/>
    <d v="2000-07-22T00:00:00"/>
    <n v="7223380592"/>
    <s v="789 Pine Rd"/>
    <d v="2021-07-23T00:00:00"/>
    <s v="michael.taylor@mail.com"/>
    <s v="D010"/>
    <s v="Linda Wilson"/>
    <s v="Oncology"/>
    <n v="6176383634"/>
    <s v="Eastside Clinic"/>
    <d v="2023-06-25T00:00:00"/>
    <d v="1899-12-30T14:30:00"/>
    <s v="Checkup"/>
    <x v="3"/>
    <s v="T029"/>
    <s v="MRI"/>
    <n v="3565.03"/>
    <d v="2023-06-25T00:00:00"/>
    <s v="B029"/>
    <d v="2023-06-25T00:00:00"/>
    <n v="3565.03"/>
    <s v="Insurance"/>
    <x v="1"/>
  </r>
  <r>
    <s v="A030"/>
    <s v="P026"/>
    <s v="John Taylor"/>
    <s v="M"/>
    <d v="2003-11-28T00:00:00"/>
    <n v="9900972256"/>
    <s v="123 Elm St"/>
    <d v="2021-05-13T00:00:00"/>
    <s v="john.taylor@mail.com"/>
    <s v="D005"/>
    <s v="Sarah Taylor"/>
    <s v="Dermatology"/>
    <n v="9118538547"/>
    <s v="Central Hospital"/>
    <d v="2023-08-29T00:00:00"/>
    <d v="1899-12-30T13:15:00"/>
    <s v="Checkup"/>
    <x v="3"/>
    <s v="T030"/>
    <s v="Chemotherapy"/>
    <n v="1316.47"/>
    <d v="2023-08-29T00:00:00"/>
    <s v="B030"/>
    <d v="2023-08-29T00:00:00"/>
    <n v="1316.47"/>
    <s v="Credit Card"/>
    <x v="0"/>
  </r>
  <r>
    <s v="A031"/>
    <s v="P026"/>
    <s v="John Taylor"/>
    <s v="M"/>
    <d v="2003-11-28T00:00:00"/>
    <n v="9900972256"/>
    <s v="123 Elm St"/>
    <d v="2021-05-13T00:00:00"/>
    <s v="john.taylor@mail.com"/>
    <s v="D006"/>
    <s v="Alex Davis"/>
    <s v="Pediatrics"/>
    <n v="6570137231"/>
    <s v="Central Hospital"/>
    <d v="2023-04-04T00:00:00"/>
    <d v="1899-12-30T10:30:00"/>
    <s v="Checkup"/>
    <x v="3"/>
    <s v="T031"/>
    <s v="ECG"/>
    <n v="2863.24"/>
    <d v="2023-04-04T00:00:00"/>
    <s v="B031"/>
    <d v="2023-04-04T00:00:00"/>
    <n v="2863.24"/>
    <s v="Credit Card"/>
    <x v="0"/>
  </r>
  <r>
    <s v="A032"/>
    <s v="P048"/>
    <s v="Emily Miller"/>
    <s v="M"/>
    <d v="1983-03-24T00:00:00"/>
    <n v="8720989381"/>
    <s v="123 Elm St"/>
    <d v="2023-06-19T00:00:00"/>
    <s v="emily.miller@mail.com"/>
    <s v="D005"/>
    <s v="Sarah Taylor"/>
    <s v="Dermatology"/>
    <n v="9118538547"/>
    <s v="Central Hospital"/>
    <d v="2023-11-06T00:00:00"/>
    <d v="1899-12-30T10:45:00"/>
    <s v="Checkup"/>
    <x v="0"/>
    <s v="T032"/>
    <s v="ECG"/>
    <n v="3690.71"/>
    <d v="2023-11-06T00:00:00"/>
    <s v="B032"/>
    <d v="2023-11-06T00:00:00"/>
    <n v="3690.71"/>
    <s v="Insurance"/>
    <x v="1"/>
  </r>
  <r>
    <s v="A033"/>
    <s v="P021"/>
    <s v="Michael Wilson"/>
    <s v="M"/>
    <d v="2002-03-01T00:00:00"/>
    <n v="7765390555"/>
    <s v="321 Maple Dr"/>
    <d v="2022-01-19T00:00:00"/>
    <s v="michael.wilson@mail.com"/>
    <s v="D005"/>
    <s v="Sarah Taylor"/>
    <s v="Dermatology"/>
    <n v="9118538547"/>
    <s v="Central Hospital"/>
    <d v="2023-09-23T00:00:00"/>
    <d v="1899-12-30T17:45:00"/>
    <s v="Therapy"/>
    <x v="1"/>
    <s v="T033"/>
    <s v="Physiotherapy"/>
    <n v="980.95"/>
    <d v="2023-09-23T00:00:00"/>
    <s v="B033"/>
    <d v="2023-09-23T00:00:00"/>
    <n v="980.95"/>
    <s v="Credit Card"/>
    <x v="1"/>
  </r>
  <r>
    <s v="A034"/>
    <s v="P039"/>
    <s v="Jane Wilson"/>
    <s v="F"/>
    <d v="1950-12-12T00:00:00"/>
    <n v="9271131338"/>
    <s v="789 Pine Rd"/>
    <d v="2021-03-09T00:00:00"/>
    <s v="jane.wilson@mail.com"/>
    <s v="D004"/>
    <s v="David Jones"/>
    <s v="Pediatrics"/>
    <n v="6594221991"/>
    <s v="Central Hospital"/>
    <d v="2023-06-13T00:00:00"/>
    <d v="1899-12-30T11:30:00"/>
    <s v="Consultation"/>
    <x v="1"/>
    <s v="T034"/>
    <s v="Physiotherapy"/>
    <n v="3052.9"/>
    <d v="2023-06-13T00:00:00"/>
    <s v="B034"/>
    <d v="2023-06-13T00:00:00"/>
    <n v="3052.9"/>
    <s v="Cash"/>
    <x v="2"/>
  </r>
  <r>
    <s v="A035"/>
    <s v="P036"/>
    <s v="Michael Wilson"/>
    <s v="M"/>
    <d v="1997-12-26T00:00:00"/>
    <n v="8545613046"/>
    <s v="123 Elm St"/>
    <d v="2022-10-04T00:00:00"/>
    <s v="michael.wilson@mail.com"/>
    <s v="D003"/>
    <s v="Jane Smith"/>
    <s v="Pediatrics"/>
    <n v="8737740598"/>
    <s v="Eastside Clinic"/>
    <d v="2023-04-18T00:00:00"/>
    <d v="1899-12-30T08:45:00"/>
    <s v="Follow-up"/>
    <x v="0"/>
    <s v="T035"/>
    <s v="MRI"/>
    <n v="1654.53"/>
    <d v="2023-04-18T00:00:00"/>
    <s v="B035"/>
    <d v="2023-04-18T00:00:00"/>
    <n v="1654.53"/>
    <s v="Insurance"/>
    <x v="2"/>
  </r>
  <r>
    <s v="A036"/>
    <s v="P033"/>
    <s v="Michael Wilson"/>
    <s v="F"/>
    <d v="1970-02-06T00:00:00"/>
    <n v="7923214041"/>
    <s v="789 Pine Rd"/>
    <d v="2023-09-06T00:00:00"/>
    <s v="michael.wilson@mail.com"/>
    <s v="D003"/>
    <s v="Jane Smith"/>
    <s v="Pediatrics"/>
    <n v="8737740598"/>
    <s v="Eastside Clinic"/>
    <d v="2023-01-08T00:00:00"/>
    <d v="1899-12-30T14:30:00"/>
    <s v="Checkup"/>
    <x v="1"/>
    <s v="T036"/>
    <s v="X-Ray"/>
    <n v="4833.17"/>
    <d v="2023-01-08T00:00:00"/>
    <s v="B036"/>
    <d v="2023-01-08T00:00:00"/>
    <n v="4833.17"/>
    <s v="Cash"/>
    <x v="0"/>
  </r>
  <r>
    <s v="A037"/>
    <s v="P030"/>
    <s v="Emily Moore"/>
    <s v="M"/>
    <d v="1964-12-23T00:00:00"/>
    <n v="6622318721"/>
    <s v="456 Oak Ave"/>
    <d v="2021-08-07T00:00:00"/>
    <s v="emily.moore@mail.com"/>
    <s v="D004"/>
    <s v="David Jones"/>
    <s v="Pediatrics"/>
    <n v="6594221991"/>
    <s v="Central Hospital"/>
    <d v="2023-03-28T00:00:00"/>
    <d v="1899-12-30T11:00:00"/>
    <s v="Consultation"/>
    <x v="0"/>
    <s v="T037"/>
    <s v="Chemotherapy"/>
    <n v="2675.96"/>
    <d v="2023-03-28T00:00:00"/>
    <s v="B037"/>
    <d v="2023-03-28T00:00:00"/>
    <n v="2675.96"/>
    <s v="Insurance"/>
    <x v="2"/>
  </r>
  <r>
    <s v="A038"/>
    <s v="P037"/>
    <s v="Robert Williams"/>
    <s v="M"/>
    <d v="1999-02-05T00:00:00"/>
    <n v="8886800195"/>
    <s v="456 Oak Ave"/>
    <d v="2021-09-30T00:00:00"/>
    <s v="robert.williams@mail.com"/>
    <s v="D009"/>
    <s v="Sarah Smith"/>
    <s v="Pediatrics"/>
    <n v="7387087517"/>
    <s v="Central Hospital"/>
    <d v="2023-02-23T00:00:00"/>
    <d v="1899-12-30T13:00:00"/>
    <s v="Consultation"/>
    <x v="0"/>
    <s v="T038"/>
    <s v="MRI"/>
    <n v="4126.97"/>
    <d v="2023-02-23T00:00:00"/>
    <s v="B038"/>
    <d v="2023-02-23T00:00:00"/>
    <n v="4126.97"/>
    <s v="Credit Card"/>
    <x v="2"/>
  </r>
  <r>
    <s v="A039"/>
    <s v="P023"/>
    <s v="Linda Johnson"/>
    <s v="M"/>
    <d v="1994-02-22T00:00:00"/>
    <n v="6141951830"/>
    <s v="789 Pine Rd"/>
    <d v="2021-12-27T00:00:00"/>
    <s v="linda.johnson@mail.com"/>
    <s v="D002"/>
    <s v="Jane Davis"/>
    <s v="Pediatrics"/>
    <n v="9004382050"/>
    <s v="Eastside Clinic"/>
    <d v="2023-04-17T00:00:00"/>
    <d v="1899-12-30T08:00:00"/>
    <s v="Follow-up"/>
    <x v="0"/>
    <s v="T039"/>
    <s v="Physiotherapy"/>
    <n v="2976.02"/>
    <d v="2023-04-17T00:00:00"/>
    <s v="B039"/>
    <d v="2023-04-17T00:00:00"/>
    <n v="2976.02"/>
    <s v="Insurance"/>
    <x v="2"/>
  </r>
  <r>
    <s v="A040"/>
    <s v="P010"/>
    <s v="Michael Taylor"/>
    <s v="M"/>
    <d v="2001-10-13T00:00:00"/>
    <n v="7081396733"/>
    <s v="123 Elm St"/>
    <d v="2022-08-24T00:00:00"/>
    <s v="michael.taylor@mail.com"/>
    <s v="D009"/>
    <s v="Sarah Smith"/>
    <s v="Pediatrics"/>
    <n v="7387087517"/>
    <s v="Central Hospital"/>
    <d v="2023-03-27T00:00:00"/>
    <d v="1899-12-30T12:30:00"/>
    <s v="Therapy"/>
    <x v="3"/>
    <s v="T040"/>
    <s v="Chemotherapy"/>
    <n v="695.36"/>
    <d v="2023-03-27T00:00:00"/>
    <s v="B040"/>
    <d v="2023-03-27T00:00:00"/>
    <n v="695.36"/>
    <s v="Cash"/>
    <x v="2"/>
  </r>
  <r>
    <s v="A041"/>
    <s v="P005"/>
    <s v="David Wilson"/>
    <s v="M"/>
    <d v="1960-06-23T00:00:00"/>
    <n v="7734463155"/>
    <s v="123 Elm St"/>
    <d v="2021-09-29T00:00:00"/>
    <s v="david.wilson@mail.com"/>
    <s v="D001"/>
    <s v="David Taylor"/>
    <s v="Dermatology"/>
    <n v="8322010158"/>
    <s v="Westside Clinic"/>
    <d v="2023-01-01T00:00:00"/>
    <d v="1899-12-30T14:00:00"/>
    <s v="Emergency"/>
    <x v="1"/>
    <s v="T041"/>
    <s v="Physiotherapy"/>
    <n v="3349.18"/>
    <d v="2023-01-01T00:00:00"/>
    <s v="B041"/>
    <d v="2023-01-01T00:00:00"/>
    <n v="3349.18"/>
    <s v="Credit Card"/>
    <x v="1"/>
  </r>
  <r>
    <s v="A042"/>
    <s v="P036"/>
    <s v="Michael Wilson"/>
    <s v="M"/>
    <d v="1997-12-26T00:00:00"/>
    <n v="8545613046"/>
    <s v="123 Elm St"/>
    <d v="2022-10-04T00:00:00"/>
    <s v="michael.wilson@mail.com"/>
    <s v="D001"/>
    <s v="David Taylor"/>
    <s v="Dermatology"/>
    <n v="8322010158"/>
    <s v="Westside Clinic"/>
    <d v="2023-03-21T00:00:00"/>
    <d v="1899-12-30T11:15:00"/>
    <s v="Emergency"/>
    <x v="0"/>
    <s v="T042"/>
    <s v="Chemotherapy"/>
    <n v="4781.32"/>
    <d v="2023-03-21T00:00:00"/>
    <s v="B042"/>
    <d v="2023-03-21T00:00:00"/>
    <n v="4781.32"/>
    <s v="Insurance"/>
    <x v="0"/>
  </r>
  <r>
    <s v="A043"/>
    <s v="P034"/>
    <s v="Alex Smith"/>
    <s v="F"/>
    <d v="1950-01-26T00:00:00"/>
    <n v="8374657733"/>
    <s v="321 Maple Dr"/>
    <d v="2023-06-18T00:00:00"/>
    <s v="alex.smith@mail.com"/>
    <s v="D005"/>
    <s v="Sarah Taylor"/>
    <s v="Dermatology"/>
    <n v="9118538547"/>
    <s v="Central Hospital"/>
    <d v="2023-03-29T00:00:00"/>
    <d v="1899-12-30T09:15:00"/>
    <s v="Consultation"/>
    <x v="1"/>
    <s v="T043"/>
    <s v="X-Ray"/>
    <n v="3207.25"/>
    <d v="2023-03-29T00:00:00"/>
    <s v="B043"/>
    <d v="2023-03-29T00:00:00"/>
    <n v="3207.25"/>
    <s v="Insurance"/>
    <x v="2"/>
  </r>
  <r>
    <s v="A044"/>
    <s v="P031"/>
    <s v="Robert Miller"/>
    <s v="M"/>
    <d v="1987-01-14T00:00:00"/>
    <n v="8280346676"/>
    <s v="321 Maple Dr"/>
    <d v="2022-06-28T00:00:00"/>
    <s v="robert.miller@mail.com"/>
    <s v="D006"/>
    <s v="Alex Davis"/>
    <s v="Pediatrics"/>
    <n v="6570137231"/>
    <s v="Central Hospital"/>
    <d v="2023-09-20T00:00:00"/>
    <d v="1899-12-30T12:30:00"/>
    <s v="Follow-up"/>
    <x v="3"/>
    <s v="T044"/>
    <s v="MRI"/>
    <n v="4186.3500000000004"/>
    <d v="2023-09-20T00:00:00"/>
    <s v="B044"/>
    <d v="2023-09-20T00:00:00"/>
    <n v="4186.3500000000004"/>
    <s v="Insurance"/>
    <x v="1"/>
  </r>
  <r>
    <s v="A045"/>
    <s v="P010"/>
    <s v="Michael Taylor"/>
    <s v="M"/>
    <d v="2001-10-13T00:00:00"/>
    <n v="7081396733"/>
    <s v="123 Elm St"/>
    <d v="2022-08-24T00:00:00"/>
    <s v="michael.taylor@mail.com"/>
    <s v="D006"/>
    <s v="Alex Davis"/>
    <s v="Pediatrics"/>
    <n v="6570137231"/>
    <s v="Central Hospital"/>
    <d v="2023-09-28T00:00:00"/>
    <d v="1899-12-30T17:00:00"/>
    <s v="Emergency"/>
    <x v="0"/>
    <s v="T045"/>
    <s v="Chemotherapy"/>
    <n v="4478.93"/>
    <d v="2023-09-28T00:00:00"/>
    <s v="B045"/>
    <d v="2023-09-28T00:00:00"/>
    <n v="4478.93"/>
    <s v="Cash"/>
    <x v="1"/>
  </r>
  <r>
    <s v="A046"/>
    <s v="P019"/>
    <s v="Sarah Miller"/>
    <s v="M"/>
    <d v="1975-05-24T00:00:00"/>
    <n v="8618058864"/>
    <s v="789 Pine Rd"/>
    <d v="2023-06-24T00:00:00"/>
    <s v="sarah.miller@mail.com"/>
    <s v="D003"/>
    <s v="Jane Smith"/>
    <s v="Pediatrics"/>
    <n v="8737740598"/>
    <s v="Eastside Clinic"/>
    <d v="2023-12-20T00:00:00"/>
    <d v="1899-12-30T13:15:00"/>
    <s v="Consultation"/>
    <x v="2"/>
    <s v="T046"/>
    <s v="ECG"/>
    <n v="1526.36"/>
    <d v="2023-12-20T00:00:00"/>
    <s v="B046"/>
    <d v="2023-12-20T00:00:00"/>
    <n v="1526.36"/>
    <s v="Cash"/>
    <x v="1"/>
  </r>
  <r>
    <s v="A047"/>
    <s v="P032"/>
    <s v="Alex Moore"/>
    <s v="M"/>
    <d v="1981-01-08T00:00:00"/>
    <n v="8102183595"/>
    <s v="123 Elm St"/>
    <d v="2021-10-02T00:00:00"/>
    <s v="alex.moore@mail.com"/>
    <s v="D007"/>
    <s v="Robert Davis"/>
    <s v="Oncology"/>
    <n v="8217493115"/>
    <s v="Westside Clinic"/>
    <d v="2023-05-02T00:00:00"/>
    <d v="1899-12-30T11:00:00"/>
    <s v="Therapy"/>
    <x v="3"/>
    <s v="T047"/>
    <s v="ECG"/>
    <n v="1454.2"/>
    <d v="2023-05-02T00:00:00"/>
    <s v="B047"/>
    <d v="2023-05-02T00:00:00"/>
    <n v="1454.2"/>
    <s v="Insurance"/>
    <x v="2"/>
  </r>
  <r>
    <s v="A048"/>
    <s v="P001"/>
    <s v="David Williams"/>
    <s v="F"/>
    <d v="1955-06-04T00:00:00"/>
    <n v="6939585183"/>
    <s v="789 Pine Rd"/>
    <d v="2022-06-23T00:00:00"/>
    <s v="david.williams@mail.com"/>
    <s v="D009"/>
    <s v="Sarah Smith"/>
    <s v="Pediatrics"/>
    <n v="7387087517"/>
    <s v="Central Hospital"/>
    <d v="2023-01-16T00:00:00"/>
    <d v="1899-12-30T15:45:00"/>
    <s v="Emergency"/>
    <x v="2"/>
    <s v="T048"/>
    <s v="Chemotherapy"/>
    <n v="3249.41"/>
    <d v="2023-01-16T00:00:00"/>
    <s v="B048"/>
    <d v="2023-01-16T00:00:00"/>
    <n v="3249.41"/>
    <s v="Credit Card"/>
    <x v="2"/>
  </r>
  <r>
    <s v="A049"/>
    <s v="P005"/>
    <s v="David Wilson"/>
    <s v="M"/>
    <d v="1960-06-23T00:00:00"/>
    <n v="7734463155"/>
    <s v="123 Elm St"/>
    <d v="2021-09-29T00:00:00"/>
    <s v="david.wilson@mail.com"/>
    <s v="D010"/>
    <s v="Linda Wilson"/>
    <s v="Oncology"/>
    <n v="6176383634"/>
    <s v="Eastside Clinic"/>
    <d v="2023-04-30T00:00:00"/>
    <d v="1899-12-30T15:30:00"/>
    <s v="Consultation"/>
    <x v="1"/>
    <s v="T049"/>
    <s v="Chemotherapy"/>
    <n v="2349.63"/>
    <d v="2023-04-30T00:00:00"/>
    <s v="B049"/>
    <d v="2023-04-30T00:00:00"/>
    <n v="2349.63"/>
    <s v="Credit Card"/>
    <x v="0"/>
  </r>
  <r>
    <s v="A050"/>
    <s v="P045"/>
    <s v="Linda Miller"/>
    <s v="F"/>
    <d v="1966-04-25T00:00:00"/>
    <n v="7579616535"/>
    <s v="321 Maple Dr"/>
    <d v="2021-01-23T00:00:00"/>
    <s v="linda.miller@mail.com"/>
    <s v="D008"/>
    <s v="Linda Brown"/>
    <s v="Dermatology"/>
    <n v="9069162601"/>
    <s v="Westside Clinic"/>
    <d v="2023-08-16T00:00:00"/>
    <d v="1899-12-30T15:00:00"/>
    <s v="Consultation"/>
    <x v="1"/>
    <s v="T050"/>
    <s v="Chemotherapy"/>
    <n v="4279.38"/>
    <d v="2023-08-16T00:00:00"/>
    <s v="B050"/>
    <d v="2023-08-16T00:00:00"/>
    <n v="4279.38"/>
    <s v="Cash"/>
    <x v="2"/>
  </r>
  <r>
    <s v="A051"/>
    <s v="P004"/>
    <s v="Michael Johnson"/>
    <s v="F"/>
    <d v="1981-02-20T00:00:00"/>
    <n v="9019443432"/>
    <s v="123 Elm St"/>
    <d v="2021-03-02T00:00:00"/>
    <s v="michael.johnson@mail.com"/>
    <s v="D006"/>
    <s v="Alex Davis"/>
    <s v="Pediatrics"/>
    <n v="6570137231"/>
    <s v="Central Hospital"/>
    <d v="2023-02-04T00:00:00"/>
    <d v="1899-12-30T11:45:00"/>
    <s v="Checkup"/>
    <x v="3"/>
    <s v="T051"/>
    <s v="ECG"/>
    <n v="4550.1000000000004"/>
    <d v="2023-02-04T00:00:00"/>
    <s v="B051"/>
    <d v="2023-02-04T00:00:00"/>
    <n v="4550.1000000000004"/>
    <s v="Credit Card"/>
    <x v="2"/>
  </r>
  <r>
    <s v="A052"/>
    <s v="P016"/>
    <s v="Michael Taylor"/>
    <s v="M"/>
    <d v="2000-07-22T00:00:00"/>
    <n v="7223380592"/>
    <s v="789 Pine Rd"/>
    <d v="2021-07-23T00:00:00"/>
    <s v="michael.taylor@mail.com"/>
    <s v="D008"/>
    <s v="Linda Brown"/>
    <s v="Dermatology"/>
    <n v="9069162601"/>
    <s v="Westside Clinic"/>
    <d v="2023-07-12T00:00:00"/>
    <d v="1899-12-30T09:30:00"/>
    <s v="Therapy"/>
    <x v="1"/>
    <s v="T052"/>
    <s v="ECG"/>
    <n v="2090.4"/>
    <d v="2023-07-12T00:00:00"/>
    <s v="B052"/>
    <d v="2023-07-12T00:00:00"/>
    <n v="2090.4"/>
    <s v="Cash"/>
    <x v="1"/>
  </r>
  <r>
    <s v="A053"/>
    <s v="P024"/>
    <s v="Sarah Brown"/>
    <s v="F"/>
    <d v="1991-11-04T00:00:00"/>
    <n v="7196777444"/>
    <s v="321 Maple Dr"/>
    <d v="2021-09-02T00:00:00"/>
    <s v="sarah.brown@mail.com"/>
    <s v="D005"/>
    <s v="Sarah Taylor"/>
    <s v="Dermatology"/>
    <n v="9118538547"/>
    <s v="Central Hospital"/>
    <d v="2023-02-12T00:00:00"/>
    <d v="1899-12-30T10:30:00"/>
    <s v="Checkup"/>
    <x v="2"/>
    <s v="T053"/>
    <s v="Chemotherapy"/>
    <n v="1565.92"/>
    <d v="2023-02-12T00:00:00"/>
    <s v="B053"/>
    <d v="2023-02-12T00:00:00"/>
    <n v="1565.92"/>
    <s v="Insurance"/>
    <x v="0"/>
  </r>
  <r>
    <s v="A054"/>
    <s v="P016"/>
    <s v="Michael Taylor"/>
    <s v="M"/>
    <d v="2000-07-22T00:00:00"/>
    <n v="7223380592"/>
    <s v="789 Pine Rd"/>
    <d v="2021-07-23T00:00:00"/>
    <s v="michael.taylor@mail.com"/>
    <s v="D008"/>
    <s v="Linda Brown"/>
    <s v="Dermatology"/>
    <n v="9069162601"/>
    <s v="Westside Clinic"/>
    <d v="2023-12-16T00:00:00"/>
    <d v="1899-12-30T11:45:00"/>
    <s v="Follow-up"/>
    <x v="0"/>
    <s v="T054"/>
    <s v="Physiotherapy"/>
    <n v="4012.36"/>
    <d v="2023-12-16T00:00:00"/>
    <s v="B054"/>
    <d v="2023-12-16T00:00:00"/>
    <n v="4012.36"/>
    <s v="Cash"/>
    <x v="2"/>
  </r>
  <r>
    <s v="A055"/>
    <s v="P002"/>
    <s v="Emily Smith"/>
    <s v="F"/>
    <d v="1984-10-12T00:00:00"/>
    <n v="8228188767"/>
    <s v="321 Maple Dr"/>
    <d v="2022-01-15T00:00:00"/>
    <s v="emily.smith@mail.com"/>
    <s v="D010"/>
    <s v="Linda Wilson"/>
    <s v="Oncology"/>
    <n v="6176383634"/>
    <s v="Eastside Clinic"/>
    <d v="2023-10-06T00:00:00"/>
    <d v="1899-12-30T17:30:00"/>
    <s v="Checkup"/>
    <x v="0"/>
    <s v="T055"/>
    <s v="Physiotherapy"/>
    <n v="1736.63"/>
    <d v="2023-10-06T00:00:00"/>
    <s v="B055"/>
    <d v="2023-10-06T00:00:00"/>
    <n v="1736.63"/>
    <s v="Cash"/>
    <x v="2"/>
  </r>
  <r>
    <s v="A056"/>
    <s v="P049"/>
    <s v="David Moore"/>
    <s v="M"/>
    <d v="1972-11-26T00:00:00"/>
    <n v="7712937941"/>
    <s v="321 Maple Dr"/>
    <d v="2023-06-14T00:00:00"/>
    <s v="david.moore@mail.com"/>
    <s v="D004"/>
    <s v="David Jones"/>
    <s v="Pediatrics"/>
    <n v="6594221991"/>
    <s v="Central Hospital"/>
    <d v="2023-01-02T00:00:00"/>
    <d v="1899-12-30T12:45:00"/>
    <s v="Checkup"/>
    <x v="0"/>
    <s v="T056"/>
    <s v="X-Ray"/>
    <n v="4201.76"/>
    <d v="2023-01-02T00:00:00"/>
    <s v="B056"/>
    <d v="2023-01-02T00:00:00"/>
    <n v="4201.76"/>
    <s v="Insurance"/>
    <x v="1"/>
  </r>
  <r>
    <s v="A057"/>
    <s v="P028"/>
    <s v="Alex Moore"/>
    <s v="M"/>
    <d v="1993-04-13T00:00:00"/>
    <n v="7028910482"/>
    <s v="321 Maple Dr"/>
    <d v="2023-05-20T00:00:00"/>
    <s v="alex.moore@mail.com"/>
    <s v="D010"/>
    <s v="Linda Wilson"/>
    <s v="Oncology"/>
    <n v="6176383634"/>
    <s v="Eastside Clinic"/>
    <d v="2023-04-15T00:00:00"/>
    <d v="1899-12-30T17:45:00"/>
    <s v="Emergency"/>
    <x v="3"/>
    <s v="T057"/>
    <s v="MRI"/>
    <n v="2406.8200000000002"/>
    <d v="2023-04-15T00:00:00"/>
    <s v="B057"/>
    <d v="2023-04-15T00:00:00"/>
    <n v="2406.8200000000002"/>
    <s v="Credit Card"/>
    <x v="1"/>
  </r>
  <r>
    <s v="A058"/>
    <s v="P032"/>
    <s v="Alex Moore"/>
    <s v="M"/>
    <d v="1981-01-08T00:00:00"/>
    <n v="8102183595"/>
    <s v="123 Elm St"/>
    <d v="2021-10-02T00:00:00"/>
    <s v="alex.moore@mail.com"/>
    <s v="D008"/>
    <s v="Linda Brown"/>
    <s v="Dermatology"/>
    <n v="9069162601"/>
    <s v="Westside Clinic"/>
    <d v="2023-05-09T00:00:00"/>
    <d v="1899-12-30T13:15:00"/>
    <s v="Consultation"/>
    <x v="1"/>
    <s v="T058"/>
    <s v="Physiotherapy"/>
    <n v="3503.97"/>
    <d v="2023-05-09T00:00:00"/>
    <s v="B058"/>
    <d v="2023-05-09T00:00:00"/>
    <n v="3503.97"/>
    <s v="Cash"/>
    <x v="2"/>
  </r>
  <r>
    <s v="A059"/>
    <s v="P027"/>
    <s v="Linda Moore"/>
    <s v="F"/>
    <d v="1998-06-29T00:00:00"/>
    <n v="8724518272"/>
    <s v="321 Maple Dr"/>
    <d v="2021-08-15T00:00:00"/>
    <s v="linda.moore@mail.com"/>
    <s v="D010"/>
    <s v="Linda Wilson"/>
    <s v="Oncology"/>
    <n v="6176383634"/>
    <s v="Eastside Clinic"/>
    <d v="2023-03-09T00:00:00"/>
    <d v="1899-12-30T15:30:00"/>
    <s v="Therapy"/>
    <x v="2"/>
    <s v="T059"/>
    <s v="ECG"/>
    <n v="929.91"/>
    <d v="2023-03-09T00:00:00"/>
    <s v="B059"/>
    <d v="2023-03-09T00:00:00"/>
    <n v="929.91"/>
    <s v="Cash"/>
    <x v="0"/>
  </r>
  <r>
    <s v="A060"/>
    <s v="P020"/>
    <s v="Jane Moore"/>
    <s v="F"/>
    <d v="2003-06-06T00:00:00"/>
    <n v="8158989953"/>
    <s v="789 Pine Rd"/>
    <d v="2022-04-03T00:00:00"/>
    <s v="jane.moore@mail.com"/>
    <s v="D002"/>
    <s v="Jane Davis"/>
    <s v="Pediatrics"/>
    <n v="9004382050"/>
    <s v="Eastside Clinic"/>
    <d v="2023-11-22T00:00:00"/>
    <d v="1899-12-30T17:15:00"/>
    <s v="Checkup"/>
    <x v="1"/>
    <s v="T060"/>
    <s v="Physiotherapy"/>
    <n v="3307.37"/>
    <d v="2023-11-22T00:00:00"/>
    <s v="B060"/>
    <d v="2023-11-22T00:00:00"/>
    <n v="3307.37"/>
    <s v="Insurance"/>
    <x v="0"/>
  </r>
  <r>
    <s v="A061"/>
    <s v="P024"/>
    <s v="Sarah Brown"/>
    <s v="F"/>
    <d v="1991-11-04T00:00:00"/>
    <n v="7196777444"/>
    <s v="321 Maple Dr"/>
    <d v="2021-09-02T00:00:00"/>
    <s v="sarah.brown@mail.com"/>
    <s v="D005"/>
    <s v="Sarah Taylor"/>
    <s v="Dermatology"/>
    <n v="9118538547"/>
    <s v="Central Hospital"/>
    <d v="2023-01-15T00:00:00"/>
    <d v="1899-12-30T17:00:00"/>
    <s v="Therapy"/>
    <x v="1"/>
    <s v="T061"/>
    <s v="X-Ray"/>
    <n v="2532.9499999999998"/>
    <d v="2023-01-15T00:00:00"/>
    <s v="B061"/>
    <d v="2023-01-15T00:00:00"/>
    <n v="2532.9499999999998"/>
    <s v="Credit Card"/>
    <x v="1"/>
  </r>
  <r>
    <s v="A062"/>
    <s v="P012"/>
    <s v="Laura Davis"/>
    <s v="F"/>
    <d v="1991-12-08T00:00:00"/>
    <n v="8135666049"/>
    <s v="321 Maple Dr"/>
    <d v="2023-04-27T00:00:00"/>
    <s v="laura.davis@mail.com"/>
    <s v="D009"/>
    <s v="Sarah Smith"/>
    <s v="Pediatrics"/>
    <n v="7387087517"/>
    <s v="Central Hospital"/>
    <d v="2023-06-14T00:00:00"/>
    <d v="1899-12-30T15:15:00"/>
    <s v="Checkup"/>
    <x v="1"/>
    <s v="T062"/>
    <s v="X-Ray"/>
    <n v="3139.74"/>
    <d v="2023-06-14T00:00:00"/>
    <s v="B062"/>
    <d v="2023-06-14T00:00:00"/>
    <n v="3139.74"/>
    <s v="Cash"/>
    <x v="1"/>
  </r>
  <r>
    <s v="A063"/>
    <s v="P050"/>
    <s v="Laura Wilson"/>
    <s v="M"/>
    <d v="1993-12-27T00:00:00"/>
    <n v="8301134730"/>
    <s v="321 Maple Dr"/>
    <d v="2023-04-28T00:00:00"/>
    <s v="laura.wilson@mail.com"/>
    <s v="D004"/>
    <s v="David Jones"/>
    <s v="Pediatrics"/>
    <n v="6594221991"/>
    <s v="Central Hospital"/>
    <d v="2023-06-29T00:00:00"/>
    <d v="1899-12-30T09:00:00"/>
    <s v="Follow-up"/>
    <x v="0"/>
    <s v="T063"/>
    <s v="MRI"/>
    <n v="1256.06"/>
    <d v="2023-06-29T00:00:00"/>
    <s v="B063"/>
    <d v="2023-06-29T00:00:00"/>
    <n v="1256.06"/>
    <s v="Insurance"/>
    <x v="2"/>
  </r>
  <r>
    <s v="A064"/>
    <s v="P035"/>
    <s v="David Wilson"/>
    <s v="F"/>
    <d v="1993-04-13T00:00:00"/>
    <n v="7039619487"/>
    <s v="123 Elm St"/>
    <d v="2023-07-09T00:00:00"/>
    <s v="david.wilson@mail.com"/>
    <s v="D006"/>
    <s v="Alex Davis"/>
    <s v="Pediatrics"/>
    <n v="6570137231"/>
    <s v="Central Hospital"/>
    <d v="2023-05-31T00:00:00"/>
    <d v="1899-12-30T08:30:00"/>
    <s v="Checkup"/>
    <x v="2"/>
    <s v="T064"/>
    <s v="Physiotherapy"/>
    <n v="3815.93"/>
    <d v="2023-05-31T00:00:00"/>
    <s v="B064"/>
    <d v="2023-05-31T00:00:00"/>
    <n v="3815.93"/>
    <s v="Cash"/>
    <x v="1"/>
  </r>
  <r>
    <s v="A065"/>
    <s v="P033"/>
    <s v="Michael Wilson"/>
    <s v="F"/>
    <d v="1970-02-06T00:00:00"/>
    <n v="7923214041"/>
    <s v="789 Pine Rd"/>
    <d v="2023-09-06T00:00:00"/>
    <s v="michael.wilson@mail.com"/>
    <s v="D001"/>
    <s v="David Taylor"/>
    <s v="Dermatology"/>
    <n v="8322010158"/>
    <s v="Westside Clinic"/>
    <d v="2023-04-24T00:00:00"/>
    <d v="1899-12-30T15:45:00"/>
    <s v="Emergency"/>
    <x v="2"/>
    <s v="T065"/>
    <s v="ECG"/>
    <n v="4382.59"/>
    <d v="2023-04-24T00:00:00"/>
    <s v="B065"/>
    <d v="2023-04-24T00:00:00"/>
    <n v="4382.59"/>
    <s v="Insurance"/>
    <x v="2"/>
  </r>
  <r>
    <s v="A066"/>
    <s v="P033"/>
    <s v="Michael Wilson"/>
    <s v="F"/>
    <d v="1970-02-06T00:00:00"/>
    <n v="7923214041"/>
    <s v="789 Pine Rd"/>
    <d v="2023-09-06T00:00:00"/>
    <s v="michael.wilson@mail.com"/>
    <s v="D009"/>
    <s v="Sarah Smith"/>
    <s v="Pediatrics"/>
    <n v="7387087517"/>
    <s v="Central Hospital"/>
    <d v="2023-05-10T00:00:00"/>
    <d v="1899-12-30T11:45:00"/>
    <s v="Consultation"/>
    <x v="1"/>
    <s v="T066"/>
    <s v="ECG"/>
    <n v="1475.33"/>
    <d v="2023-05-10T00:00:00"/>
    <s v="B066"/>
    <d v="2023-05-10T00:00:00"/>
    <n v="1475.33"/>
    <s v="Credit Card"/>
    <x v="0"/>
  </r>
  <r>
    <s v="A067"/>
    <s v="P043"/>
    <s v="Linda Brown"/>
    <s v="M"/>
    <d v="1980-03-25T00:00:00"/>
    <n v="9127665406"/>
    <s v="789 Pine Rd"/>
    <d v="2022-07-18T00:00:00"/>
    <s v="linda.brown@mail.com"/>
    <s v="D001"/>
    <s v="David Taylor"/>
    <s v="Dermatology"/>
    <n v="8322010158"/>
    <s v="Westside Clinic"/>
    <d v="2023-08-10T00:00:00"/>
    <d v="1899-12-30T11:00:00"/>
    <s v="Follow-up"/>
    <x v="0"/>
    <s v="T067"/>
    <s v="Chemotherapy"/>
    <n v="930.72"/>
    <d v="2023-08-10T00:00:00"/>
    <s v="B067"/>
    <d v="2023-08-10T00:00:00"/>
    <n v="930.72"/>
    <s v="Credit Card"/>
    <x v="0"/>
  </r>
  <r>
    <s v="A068"/>
    <s v="P037"/>
    <s v="Robert Williams"/>
    <s v="M"/>
    <d v="1999-02-05T00:00:00"/>
    <n v="8886800195"/>
    <s v="456 Oak Ave"/>
    <d v="2021-09-30T00:00:00"/>
    <s v="robert.williams@mail.com"/>
    <s v="D005"/>
    <s v="Sarah Taylor"/>
    <s v="Dermatology"/>
    <n v="9118538547"/>
    <s v="Central Hospital"/>
    <d v="2023-03-14T00:00:00"/>
    <d v="1899-12-30T15:00:00"/>
    <s v="Checkup"/>
    <x v="0"/>
    <s v="T068"/>
    <s v="ECG"/>
    <n v="606.37"/>
    <d v="2023-03-14T00:00:00"/>
    <s v="B068"/>
    <d v="2023-03-14T00:00:00"/>
    <n v="606.37"/>
    <s v="Credit Card"/>
    <x v="2"/>
  </r>
  <r>
    <s v="A069"/>
    <s v="P012"/>
    <s v="Laura Davis"/>
    <s v="F"/>
    <d v="1991-12-08T00:00:00"/>
    <n v="8135666049"/>
    <s v="321 Maple Dr"/>
    <d v="2023-04-27T00:00:00"/>
    <s v="laura.davis@mail.com"/>
    <s v="D004"/>
    <s v="David Jones"/>
    <s v="Pediatrics"/>
    <n v="6594221991"/>
    <s v="Central Hospital"/>
    <d v="2023-03-29T00:00:00"/>
    <d v="1899-12-30T15:30:00"/>
    <s v="Therapy"/>
    <x v="2"/>
    <s v="T069"/>
    <s v="MRI"/>
    <n v="3388.87"/>
    <d v="2023-03-29T00:00:00"/>
    <s v="B069"/>
    <d v="2023-03-29T00:00:00"/>
    <n v="3388.87"/>
    <s v="Credit Card"/>
    <x v="1"/>
  </r>
  <r>
    <s v="A070"/>
    <s v="P003"/>
    <s v="Laura Jones"/>
    <s v="M"/>
    <d v="1977-08-21T00:00:00"/>
    <n v="8397029847"/>
    <s v="321 Maple Dr"/>
    <d v="2022-02-07T00:00:00"/>
    <s v="laura.jones@mail.com"/>
    <s v="D003"/>
    <s v="Jane Smith"/>
    <s v="Pediatrics"/>
    <n v="8737740598"/>
    <s v="Eastside Clinic"/>
    <d v="2023-08-26T00:00:00"/>
    <d v="1899-12-30T17:00:00"/>
    <s v="Follow-up"/>
    <x v="0"/>
    <s v="T070"/>
    <s v="MRI"/>
    <n v="3231.92"/>
    <d v="2023-08-26T00:00:00"/>
    <s v="B070"/>
    <d v="2023-08-26T00:00:00"/>
    <n v="3231.92"/>
    <s v="Cash"/>
    <x v="0"/>
  </r>
  <r>
    <s v="A071"/>
    <s v="P001"/>
    <s v="David Williams"/>
    <s v="F"/>
    <d v="1955-06-04T00:00:00"/>
    <n v="6939585183"/>
    <s v="789 Pine Rd"/>
    <d v="2022-06-23T00:00:00"/>
    <s v="david.williams@mail.com"/>
    <s v="D006"/>
    <s v="Alex Davis"/>
    <s v="Pediatrics"/>
    <n v="6570137231"/>
    <s v="Central Hospital"/>
    <d v="2023-01-26T00:00:00"/>
    <d v="1899-12-30T17:00:00"/>
    <s v="Follow-up"/>
    <x v="0"/>
    <s v="T071"/>
    <s v="ECG"/>
    <n v="2960.14"/>
    <d v="2023-01-26T00:00:00"/>
    <s v="B071"/>
    <d v="2023-01-26T00:00:00"/>
    <n v="2960.14"/>
    <s v="Cash"/>
    <x v="1"/>
  </r>
  <r>
    <s v="A072"/>
    <s v="P033"/>
    <s v="Michael Wilson"/>
    <s v="F"/>
    <d v="1970-02-06T00:00:00"/>
    <n v="7923214041"/>
    <s v="789 Pine Rd"/>
    <d v="2023-09-06T00:00:00"/>
    <s v="michael.wilson@mail.com"/>
    <s v="D002"/>
    <s v="Jane Davis"/>
    <s v="Pediatrics"/>
    <n v="9004382050"/>
    <s v="Eastside Clinic"/>
    <d v="2023-06-12T00:00:00"/>
    <d v="1899-12-30T13:30:00"/>
    <s v="Checkup"/>
    <x v="0"/>
    <s v="T072"/>
    <s v="ECG"/>
    <n v="1543.76"/>
    <d v="2023-06-12T00:00:00"/>
    <s v="B072"/>
    <d v="2023-06-12T00:00:00"/>
    <n v="1543.76"/>
    <s v="Credit Card"/>
    <x v="0"/>
  </r>
  <r>
    <s v="A073"/>
    <s v="P040"/>
    <s v="Emily Williams"/>
    <s v="M"/>
    <d v="1972-05-30T00:00:00"/>
    <n v="7587653815"/>
    <s v="456 Oak Ave"/>
    <d v="2021-10-16T00:00:00"/>
    <s v="emily.williams@mail.com"/>
    <s v="D003"/>
    <s v="Jane Smith"/>
    <s v="Pediatrics"/>
    <n v="8737740598"/>
    <s v="Eastside Clinic"/>
    <d v="2023-12-24T00:00:00"/>
    <d v="1899-12-30T15:00:00"/>
    <s v="Follow-up"/>
    <x v="3"/>
    <s v="T073"/>
    <s v="Chemotherapy"/>
    <n v="2259.08"/>
    <d v="2023-12-24T00:00:00"/>
    <s v="B073"/>
    <d v="2023-12-24T00:00:00"/>
    <n v="2259.08"/>
    <s v="Credit Card"/>
    <x v="2"/>
  </r>
  <r>
    <s v="A074"/>
    <s v="P010"/>
    <s v="Michael Taylor"/>
    <s v="M"/>
    <d v="2001-10-13T00:00:00"/>
    <n v="7081396733"/>
    <s v="123 Elm St"/>
    <d v="2022-08-24T00:00:00"/>
    <s v="michael.taylor@mail.com"/>
    <s v="D005"/>
    <s v="Sarah Taylor"/>
    <s v="Dermatology"/>
    <n v="9118538547"/>
    <s v="Central Hospital"/>
    <d v="2023-07-23T00:00:00"/>
    <d v="1899-12-30T13:30:00"/>
    <s v="Therapy"/>
    <x v="1"/>
    <s v="T074"/>
    <s v="ECG"/>
    <n v="3175.14"/>
    <d v="2023-07-23T00:00:00"/>
    <s v="B074"/>
    <d v="2023-07-23T00:00:00"/>
    <n v="3175.14"/>
    <s v="Credit Card"/>
    <x v="2"/>
  </r>
  <r>
    <s v="A075"/>
    <s v="P043"/>
    <s v="Linda Brown"/>
    <s v="M"/>
    <d v="1980-03-25T00:00:00"/>
    <n v="9127665406"/>
    <s v="789 Pine Rd"/>
    <d v="2022-07-18T00:00:00"/>
    <s v="linda.brown@mail.com"/>
    <s v="D009"/>
    <s v="Sarah Smith"/>
    <s v="Pediatrics"/>
    <n v="7387087517"/>
    <s v="Central Hospital"/>
    <d v="2023-05-08T00:00:00"/>
    <d v="1899-12-30T14:00:00"/>
    <s v="Follow-up"/>
    <x v="2"/>
    <s v="T075"/>
    <s v="Chemotherapy"/>
    <n v="2735.45"/>
    <d v="2023-05-08T00:00:00"/>
    <s v="B075"/>
    <d v="2023-05-08T00:00:00"/>
    <n v="2735.45"/>
    <s v="Cash"/>
    <x v="2"/>
  </r>
  <r>
    <s v="A076"/>
    <s v="P044"/>
    <s v="Robert Taylor"/>
    <s v="F"/>
    <d v="1976-03-11T00:00:00"/>
    <n v="9449458981"/>
    <s v="321 Maple Dr"/>
    <d v="2023-01-26T00:00:00"/>
    <s v="robert.taylor@mail.com"/>
    <s v="D002"/>
    <s v="Jane Davis"/>
    <s v="Pediatrics"/>
    <n v="9004382050"/>
    <s v="Eastside Clinic"/>
    <d v="2023-11-27T00:00:00"/>
    <d v="1899-12-30T12:00:00"/>
    <s v="Therapy"/>
    <x v="2"/>
    <s v="T076"/>
    <s v="Chemotherapy"/>
    <n v="4945.03"/>
    <d v="2023-11-27T00:00:00"/>
    <s v="B076"/>
    <d v="2023-11-27T00:00:00"/>
    <n v="4945.03"/>
    <s v="Credit Card"/>
    <x v="0"/>
  </r>
  <r>
    <s v="A077"/>
    <s v="P029"/>
    <s v="David Smith"/>
    <s v="M"/>
    <d v="2005-05-15T00:00:00"/>
    <n v="8923607677"/>
    <s v="789 Pine Rd"/>
    <d v="2023-04-19T00:00:00"/>
    <s v="david.smith@mail.com"/>
    <s v="D010"/>
    <s v="Linda Wilson"/>
    <s v="Oncology"/>
    <n v="6176383634"/>
    <s v="Eastside Clinic"/>
    <d v="2023-12-14T00:00:00"/>
    <d v="1899-12-30T17:15:00"/>
    <s v="Checkup"/>
    <x v="3"/>
    <s v="T077"/>
    <s v="ECG"/>
    <n v="1113.98"/>
    <d v="2023-12-14T00:00:00"/>
    <s v="B077"/>
    <d v="2023-12-14T00:00:00"/>
    <n v="1113.98"/>
    <s v="Credit Card"/>
    <x v="1"/>
  </r>
  <r>
    <s v="A078"/>
    <s v="P013"/>
    <s v="Laura Johnson"/>
    <s v="F"/>
    <d v="1990-03-28T00:00:00"/>
    <n v="9059178882"/>
    <s v="321 Maple Dr"/>
    <d v="2021-12-23T00:00:00"/>
    <s v="laura.johnson@mail.com"/>
    <s v="D008"/>
    <s v="Linda Brown"/>
    <s v="Dermatology"/>
    <n v="9069162601"/>
    <s v="Westside Clinic"/>
    <d v="2023-09-17T00:00:00"/>
    <d v="1899-12-30T11:15:00"/>
    <s v="Consultation"/>
    <x v="1"/>
    <s v="T078"/>
    <s v="X-Ray"/>
    <n v="3628.15"/>
    <d v="2023-09-17T00:00:00"/>
    <s v="B078"/>
    <d v="2023-09-17T00:00:00"/>
    <n v="3628.15"/>
    <s v="Credit Card"/>
    <x v="1"/>
  </r>
  <r>
    <s v="A079"/>
    <s v="P012"/>
    <s v="Laura Davis"/>
    <s v="F"/>
    <d v="1991-12-08T00:00:00"/>
    <n v="8135666049"/>
    <s v="321 Maple Dr"/>
    <d v="2023-04-27T00:00:00"/>
    <s v="laura.davis@mail.com"/>
    <s v="D002"/>
    <s v="Jane Davis"/>
    <s v="Pediatrics"/>
    <n v="9004382050"/>
    <s v="Eastside Clinic"/>
    <d v="2023-12-26T00:00:00"/>
    <d v="1899-12-30T14:00:00"/>
    <s v="Follow-up"/>
    <x v="2"/>
    <s v="T079"/>
    <s v="X-Ray"/>
    <n v="2319.4299999999998"/>
    <d v="2023-12-26T00:00:00"/>
    <s v="B079"/>
    <d v="2023-12-26T00:00:00"/>
    <n v="2319.4299999999998"/>
    <s v="Insurance"/>
    <x v="1"/>
  </r>
  <r>
    <s v="A080"/>
    <s v="P031"/>
    <s v="Robert Miller"/>
    <s v="M"/>
    <d v="1987-01-14T00:00:00"/>
    <n v="8280346676"/>
    <s v="321 Maple Dr"/>
    <d v="2022-06-28T00:00:00"/>
    <s v="robert.miller@mail.com"/>
    <s v="D005"/>
    <s v="Sarah Taylor"/>
    <s v="Dermatology"/>
    <n v="9118538547"/>
    <s v="Central Hospital"/>
    <d v="2023-06-26T00:00:00"/>
    <d v="1899-12-30T08:30:00"/>
    <s v="Consultation"/>
    <x v="0"/>
    <s v="T080"/>
    <s v="Chemotherapy"/>
    <n v="2426.9"/>
    <d v="2023-06-26T00:00:00"/>
    <s v="B080"/>
    <d v="2023-06-26T00:00:00"/>
    <n v="2426.9"/>
    <s v="Credit Card"/>
    <x v="0"/>
  </r>
  <r>
    <s v="A081"/>
    <s v="P046"/>
    <s v="Michael Taylor"/>
    <s v="F"/>
    <d v="1986-09-01T00:00:00"/>
    <n v="8019925828"/>
    <s v="456 Oak Ave"/>
    <d v="2021-07-31T00:00:00"/>
    <s v="michael.taylor@mail.com"/>
    <s v="D007"/>
    <s v="Robert Davis"/>
    <s v="Oncology"/>
    <n v="8217493115"/>
    <s v="Westside Clinic"/>
    <d v="2023-01-06T00:00:00"/>
    <d v="1899-12-30T13:30:00"/>
    <s v="Therapy"/>
    <x v="2"/>
    <s v="T081"/>
    <s v="ECG"/>
    <n v="3729.19"/>
    <d v="2023-01-06T00:00:00"/>
    <s v="B081"/>
    <d v="2023-01-06T00:00:00"/>
    <n v="3729.19"/>
    <s v="Insurance"/>
    <x v="0"/>
  </r>
  <r>
    <s v="A082"/>
    <s v="P002"/>
    <s v="Emily Smith"/>
    <s v="F"/>
    <d v="1984-10-12T00:00:00"/>
    <n v="8228188767"/>
    <s v="321 Maple Dr"/>
    <d v="2022-01-15T00:00:00"/>
    <s v="emily.smith@mail.com"/>
    <s v="D008"/>
    <s v="Linda Brown"/>
    <s v="Dermatology"/>
    <n v="9069162601"/>
    <s v="Westside Clinic"/>
    <d v="2023-01-20T00:00:00"/>
    <d v="1899-12-30T10:45:00"/>
    <s v="Follow-up"/>
    <x v="0"/>
    <s v="T082"/>
    <s v="X-Ray"/>
    <n v="3615.96"/>
    <d v="2023-01-20T00:00:00"/>
    <s v="B082"/>
    <d v="2023-01-20T00:00:00"/>
    <n v="3615.96"/>
    <s v="Insurance"/>
    <x v="0"/>
  </r>
  <r>
    <s v="A083"/>
    <s v="P050"/>
    <s v="Laura Wilson"/>
    <s v="M"/>
    <d v="1993-12-27T00:00:00"/>
    <n v="8301134730"/>
    <s v="321 Maple Dr"/>
    <d v="2023-04-28T00:00:00"/>
    <s v="laura.wilson@mail.com"/>
    <s v="D001"/>
    <s v="David Taylor"/>
    <s v="Dermatology"/>
    <n v="8322010158"/>
    <s v="Westside Clinic"/>
    <d v="2023-11-07T00:00:00"/>
    <d v="1899-12-30T12:30:00"/>
    <s v="Emergency"/>
    <x v="3"/>
    <s v="T083"/>
    <s v="ECG"/>
    <n v="4960.6499999999996"/>
    <d v="2023-11-07T00:00:00"/>
    <s v="B083"/>
    <d v="2023-11-07T00:00:00"/>
    <n v="4960.6499999999996"/>
    <s v="Credit Card"/>
    <x v="0"/>
  </r>
  <r>
    <s v="A084"/>
    <s v="P035"/>
    <s v="David Wilson"/>
    <s v="F"/>
    <d v="1993-04-13T00:00:00"/>
    <n v="7039619487"/>
    <s v="123 Elm St"/>
    <d v="2023-07-09T00:00:00"/>
    <s v="david.wilson@mail.com"/>
    <s v="D006"/>
    <s v="Alex Davis"/>
    <s v="Pediatrics"/>
    <n v="6570137231"/>
    <s v="Central Hospital"/>
    <d v="2023-05-31T00:00:00"/>
    <d v="1899-12-30T16:00:00"/>
    <s v="Consultation"/>
    <x v="0"/>
    <s v="T084"/>
    <s v="ECG"/>
    <n v="1077.77"/>
    <d v="2023-05-31T00:00:00"/>
    <s v="B084"/>
    <d v="2023-05-31T00:00:00"/>
    <n v="1077.77"/>
    <s v="Insurance"/>
    <x v="0"/>
  </r>
  <r>
    <s v="A085"/>
    <s v="P023"/>
    <s v="Linda Johnson"/>
    <s v="M"/>
    <d v="1994-02-22T00:00:00"/>
    <n v="6141951830"/>
    <s v="789 Pine Rd"/>
    <d v="2021-12-27T00:00:00"/>
    <s v="linda.johnson@mail.com"/>
    <s v="D001"/>
    <s v="David Taylor"/>
    <s v="Dermatology"/>
    <n v="8322010158"/>
    <s v="Westside Clinic"/>
    <d v="2023-02-18T00:00:00"/>
    <d v="1899-12-30T16:15:00"/>
    <s v="Follow-up"/>
    <x v="2"/>
    <s v="T085"/>
    <s v="ECG"/>
    <n v="968.49"/>
    <d v="2023-02-18T00:00:00"/>
    <s v="B085"/>
    <d v="2023-02-18T00:00:00"/>
    <n v="968.49"/>
    <s v="Credit Card"/>
    <x v="1"/>
  </r>
  <r>
    <s v="A086"/>
    <s v="P017"/>
    <s v="Jane Jones"/>
    <s v="M"/>
    <d v="1991-05-01T00:00:00"/>
    <n v="6158428240"/>
    <s v="456 Oak Ave"/>
    <d v="2022-09-26T00:00:00"/>
    <s v="jane.jones@mail.com"/>
    <s v="D002"/>
    <s v="Jane Davis"/>
    <s v="Pediatrics"/>
    <n v="9004382050"/>
    <s v="Eastside Clinic"/>
    <d v="2023-10-29T00:00:00"/>
    <d v="1899-12-30T11:00:00"/>
    <s v="Consultation"/>
    <x v="2"/>
    <s v="T086"/>
    <s v="Physiotherapy"/>
    <n v="3759.52"/>
    <d v="2023-10-29T00:00:00"/>
    <s v="B086"/>
    <d v="2023-10-29T00:00:00"/>
    <n v="3759.52"/>
    <s v="Cash"/>
    <x v="0"/>
  </r>
  <r>
    <s v="A087"/>
    <s v="P026"/>
    <s v="John Taylor"/>
    <s v="M"/>
    <d v="2003-11-28T00:00:00"/>
    <n v="9900972256"/>
    <s v="123 Elm St"/>
    <d v="2021-05-13T00:00:00"/>
    <s v="john.taylor@mail.com"/>
    <s v="D001"/>
    <s v="David Taylor"/>
    <s v="Dermatology"/>
    <n v="8322010158"/>
    <s v="Westside Clinic"/>
    <d v="2023-10-19T00:00:00"/>
    <d v="1899-12-30T12:15:00"/>
    <s v="Follow-up"/>
    <x v="2"/>
    <s v="T087"/>
    <s v="ECG"/>
    <n v="3102.74"/>
    <d v="2023-10-19T00:00:00"/>
    <s v="B087"/>
    <d v="2023-10-19T00:00:00"/>
    <n v="3102.74"/>
    <s v="Cash"/>
    <x v="0"/>
  </r>
  <r>
    <s v="A088"/>
    <s v="P008"/>
    <s v="David Davis"/>
    <s v="F"/>
    <d v="1976-07-05T00:00:00"/>
    <n v="7090558393"/>
    <s v="456 Oak Ave"/>
    <d v="2021-05-25T00:00:00"/>
    <s v="david.davis@mail.com"/>
    <s v="D005"/>
    <s v="Sarah Taylor"/>
    <s v="Dermatology"/>
    <n v="9118538547"/>
    <s v="Central Hospital"/>
    <d v="2023-05-02T00:00:00"/>
    <d v="1899-12-30T16:30:00"/>
    <s v="Checkup"/>
    <x v="3"/>
    <s v="T088"/>
    <s v="Physiotherapy"/>
    <n v="1733.72"/>
    <d v="2023-05-02T00:00:00"/>
    <s v="B088"/>
    <d v="2023-05-02T00:00:00"/>
    <n v="1733.72"/>
    <s v="Cash"/>
    <x v="1"/>
  </r>
  <r>
    <s v="A089"/>
    <s v="P029"/>
    <s v="David Smith"/>
    <s v="M"/>
    <d v="2005-05-15T00:00:00"/>
    <n v="8923607677"/>
    <s v="789 Pine Rd"/>
    <d v="2023-04-19T00:00:00"/>
    <s v="david.smith@mail.com"/>
    <s v="D010"/>
    <s v="Linda Wilson"/>
    <s v="Oncology"/>
    <n v="6176383634"/>
    <s v="Eastside Clinic"/>
    <d v="2023-02-14T00:00:00"/>
    <d v="1899-12-30T11:00:00"/>
    <s v="Consultation"/>
    <x v="3"/>
    <s v="T089"/>
    <s v="Chemotherapy"/>
    <n v="857.39"/>
    <d v="2023-02-14T00:00:00"/>
    <s v="B089"/>
    <d v="2023-02-14T00:00:00"/>
    <n v="857.39"/>
    <s v="Cash"/>
    <x v="0"/>
  </r>
  <r>
    <s v="A090"/>
    <s v="P026"/>
    <s v="John Taylor"/>
    <s v="M"/>
    <d v="2003-11-28T00:00:00"/>
    <n v="9900972256"/>
    <s v="123 Elm St"/>
    <d v="2021-05-13T00:00:00"/>
    <s v="john.taylor@mail.com"/>
    <s v="D009"/>
    <s v="Sarah Smith"/>
    <s v="Pediatrics"/>
    <n v="7387087517"/>
    <s v="Central Hospital"/>
    <d v="2023-06-01T00:00:00"/>
    <d v="1899-12-30T17:30:00"/>
    <s v="Emergency"/>
    <x v="1"/>
    <s v="T090"/>
    <s v="X-Ray"/>
    <n v="885.46"/>
    <d v="2023-06-01T00:00:00"/>
    <s v="B090"/>
    <d v="2023-06-01T00:00:00"/>
    <n v="885.46"/>
    <s v="Insurance"/>
    <x v="1"/>
  </r>
  <r>
    <s v="A091"/>
    <s v="P010"/>
    <s v="Michael Taylor"/>
    <s v="M"/>
    <d v="2001-10-13T00:00:00"/>
    <n v="7081396733"/>
    <s v="123 Elm St"/>
    <d v="2022-08-24T00:00:00"/>
    <s v="michael.taylor@mail.com"/>
    <s v="D006"/>
    <s v="Alex Davis"/>
    <s v="Pediatrics"/>
    <n v="6570137231"/>
    <s v="Central Hospital"/>
    <d v="2023-06-11T00:00:00"/>
    <d v="1899-12-30T13:15:00"/>
    <s v="Emergency"/>
    <x v="2"/>
    <s v="T091"/>
    <s v="X-Ray"/>
    <n v="4523.8599999999997"/>
    <d v="2023-06-11T00:00:00"/>
    <s v="B091"/>
    <d v="2023-06-11T00:00:00"/>
    <n v="4523.8599999999997"/>
    <s v="Credit Card"/>
    <x v="1"/>
  </r>
  <r>
    <s v="A092"/>
    <s v="P026"/>
    <s v="John Taylor"/>
    <s v="M"/>
    <d v="2003-11-28T00:00:00"/>
    <n v="9900972256"/>
    <s v="123 Elm St"/>
    <d v="2021-05-13T00:00:00"/>
    <s v="john.taylor@mail.com"/>
    <s v="D001"/>
    <s v="David Taylor"/>
    <s v="Dermatology"/>
    <n v="8322010158"/>
    <s v="Westside Clinic"/>
    <d v="2023-01-30T00:00:00"/>
    <d v="1899-12-30T14:15:00"/>
    <s v="Therapy"/>
    <x v="0"/>
    <s v="T092"/>
    <s v="X-Ray"/>
    <n v="1363.4"/>
    <d v="2023-01-30T00:00:00"/>
    <s v="B092"/>
    <d v="2023-01-30T00:00:00"/>
    <n v="1363.4"/>
    <s v="Credit Card"/>
    <x v="2"/>
  </r>
  <r>
    <s v="A093"/>
    <s v="P034"/>
    <s v="Alex Smith"/>
    <s v="F"/>
    <d v="1950-01-26T00:00:00"/>
    <n v="8374657733"/>
    <s v="321 Maple Dr"/>
    <d v="2023-06-18T00:00:00"/>
    <s v="alex.smith@mail.com"/>
    <s v="D001"/>
    <s v="David Taylor"/>
    <s v="Dermatology"/>
    <n v="8322010158"/>
    <s v="Westside Clinic"/>
    <d v="2023-04-09T00:00:00"/>
    <d v="1899-12-30T09:30:00"/>
    <s v="Follow-up"/>
    <x v="3"/>
    <s v="T093"/>
    <s v="X-Ray"/>
    <n v="1955.17"/>
    <d v="2023-04-09T00:00:00"/>
    <s v="B093"/>
    <d v="2023-04-09T00:00:00"/>
    <n v="1955.17"/>
    <s v="Credit Card"/>
    <x v="2"/>
  </r>
  <r>
    <s v="A094"/>
    <s v="P041"/>
    <s v="Robert Williams"/>
    <s v="M"/>
    <d v="1951-06-19T00:00:00"/>
    <n v="7020645498"/>
    <s v="456 Oak Ave"/>
    <d v="2022-07-16T00:00:00"/>
    <s v="robert.williams@mail.com"/>
    <s v="D002"/>
    <s v="Jane Davis"/>
    <s v="Pediatrics"/>
    <n v="9004382050"/>
    <s v="Eastside Clinic"/>
    <d v="2023-04-08T00:00:00"/>
    <d v="1899-12-30T08:45:00"/>
    <s v="Consultation"/>
    <x v="2"/>
    <s v="T094"/>
    <s v="X-Ray"/>
    <n v="1519.95"/>
    <d v="2023-04-08T00:00:00"/>
    <s v="B094"/>
    <d v="2023-04-08T00:00:00"/>
    <n v="1519.95"/>
    <s v="Cash"/>
    <x v="2"/>
  </r>
  <r>
    <s v="A095"/>
    <s v="P007"/>
    <s v="Alex Johnson"/>
    <s v="F"/>
    <d v="1989-06-08T00:00:00"/>
    <n v="6278710077"/>
    <s v="789 Pine Rd"/>
    <d v="2021-12-25T00:00:00"/>
    <s v="alex.johnson@mail.com"/>
    <s v="D009"/>
    <s v="Sarah Smith"/>
    <s v="Pediatrics"/>
    <n v="7387087517"/>
    <s v="Central Hospital"/>
    <d v="2023-05-09T00:00:00"/>
    <d v="1899-12-30T10:15:00"/>
    <s v="Therapy"/>
    <x v="2"/>
    <s v="T095"/>
    <s v="X-Ray"/>
    <n v="2097.48"/>
    <d v="2023-05-09T00:00:00"/>
    <s v="B095"/>
    <d v="2023-05-09T00:00:00"/>
    <n v="2097.48"/>
    <s v="Cash"/>
    <x v="2"/>
  </r>
  <r>
    <s v="A096"/>
    <s v="P004"/>
    <s v="Michael Johnson"/>
    <s v="F"/>
    <d v="1981-02-20T00:00:00"/>
    <n v="9019443432"/>
    <s v="123 Elm St"/>
    <d v="2021-03-02T00:00:00"/>
    <s v="michael.johnson@mail.com"/>
    <s v="D003"/>
    <s v="Jane Smith"/>
    <s v="Pediatrics"/>
    <n v="8737740598"/>
    <s v="Eastside Clinic"/>
    <d v="2023-07-07T00:00:00"/>
    <d v="1899-12-30T15:00:00"/>
    <s v="Consultation"/>
    <x v="3"/>
    <s v="T096"/>
    <s v="X-Ray"/>
    <n v="812.41"/>
    <d v="2023-07-07T00:00:00"/>
    <s v="B096"/>
    <d v="2023-07-07T00:00:00"/>
    <n v="812.41"/>
    <s v="Credit Card"/>
    <x v="0"/>
  </r>
  <r>
    <s v="A097"/>
    <s v="P050"/>
    <s v="Laura Wilson"/>
    <s v="M"/>
    <d v="1993-12-27T00:00:00"/>
    <n v="8301134730"/>
    <s v="321 Maple Dr"/>
    <d v="2023-04-28T00:00:00"/>
    <s v="laura.wilson@mail.com"/>
    <s v="D001"/>
    <s v="David Taylor"/>
    <s v="Dermatology"/>
    <n v="8322010158"/>
    <s v="Westside Clinic"/>
    <d v="2023-05-06T00:00:00"/>
    <d v="1899-12-30T14:45:00"/>
    <s v="Follow-up"/>
    <x v="1"/>
    <s v="T097"/>
    <s v="Chemotherapy"/>
    <n v="2835.77"/>
    <d v="2023-05-06T00:00:00"/>
    <s v="B097"/>
    <d v="2023-05-06T00:00:00"/>
    <n v="2835.77"/>
    <s v="Cash"/>
    <x v="2"/>
  </r>
  <r>
    <s v="A098"/>
    <s v="P045"/>
    <s v="Linda Miller"/>
    <s v="F"/>
    <d v="1966-04-25T00:00:00"/>
    <n v="7579616535"/>
    <s v="321 Maple Dr"/>
    <d v="2021-01-23T00:00:00"/>
    <s v="linda.miller@mail.com"/>
    <s v="D005"/>
    <s v="Sarah Taylor"/>
    <s v="Dermatology"/>
    <n v="9118538547"/>
    <s v="Central Hospital"/>
    <d v="2023-03-17T00:00:00"/>
    <d v="1899-12-30T13:00:00"/>
    <s v="Emergency"/>
    <x v="3"/>
    <s v="T098"/>
    <s v="ECG"/>
    <n v="804.26"/>
    <d v="2023-03-17T00:00:00"/>
    <s v="B098"/>
    <d v="2023-03-17T00:00:00"/>
    <n v="804.26"/>
    <s v="Credit Card"/>
    <x v="1"/>
  </r>
  <r>
    <s v="A099"/>
    <s v="P011"/>
    <s v="Emily Jones"/>
    <s v="F"/>
    <d v="1966-12-04T00:00:00"/>
    <n v="8990604070"/>
    <s v="789 Pine Rd"/>
    <d v="2022-09-27T00:00:00"/>
    <s v="emily.jones@mail.com"/>
    <s v="D007"/>
    <s v="Robert Davis"/>
    <s v="Oncology"/>
    <n v="8217493115"/>
    <s v="Westside Clinic"/>
    <d v="2023-07-04T00:00:00"/>
    <d v="1899-12-30T15:00:00"/>
    <s v="Checkup"/>
    <x v="3"/>
    <s v="T099"/>
    <s v="MRI"/>
    <n v="4101.6000000000004"/>
    <d v="2023-07-04T00:00:00"/>
    <s v="B099"/>
    <d v="2023-07-04T00:00:00"/>
    <n v="4101.6000000000004"/>
    <s v="Credit Card"/>
    <x v="0"/>
  </r>
  <r>
    <s v="A100"/>
    <s v="P029"/>
    <s v="David Smith"/>
    <s v="M"/>
    <d v="2005-05-15T00:00:00"/>
    <n v="8923607677"/>
    <s v="789 Pine Rd"/>
    <d v="2023-04-19T00:00:00"/>
    <s v="david.smith@mail.com"/>
    <s v="D006"/>
    <s v="Alex Davis"/>
    <s v="Pediatrics"/>
    <n v="6570137231"/>
    <s v="Central Hospital"/>
    <d v="2023-03-02T00:00:00"/>
    <d v="1899-12-30T08:00:00"/>
    <s v="Emergency"/>
    <x v="0"/>
    <s v="T100"/>
    <s v="Physiotherapy"/>
    <n v="1551.7"/>
    <d v="2023-03-02T00:00:00"/>
    <s v="B100"/>
    <d v="2023-03-02T00:00:00"/>
    <n v="1551.7"/>
    <s v="Credit Card"/>
    <x v="2"/>
  </r>
  <r>
    <s v="A101"/>
    <s v="P036"/>
    <s v="Michael Wilson"/>
    <s v="M"/>
    <d v="1997-12-26T00:00:00"/>
    <n v="8545613046"/>
    <s v="123 Elm St"/>
    <d v="2022-10-04T00:00:00"/>
    <s v="michael.wilson@mail.com"/>
    <s v="D001"/>
    <s v="David Taylor"/>
    <s v="Dermatology"/>
    <n v="8322010158"/>
    <s v="Westside Clinic"/>
    <d v="2023-09-21T00:00:00"/>
    <d v="1899-12-30T13:15:00"/>
    <s v="Therapy"/>
    <x v="0"/>
    <s v="T101"/>
    <s v="MRI"/>
    <n v="2930.05"/>
    <d v="2023-09-21T00:00:00"/>
    <s v="B101"/>
    <d v="2023-09-21T00:00:00"/>
    <n v="2930.05"/>
    <s v="Credit Card"/>
    <x v="1"/>
  </r>
  <r>
    <s v="A102"/>
    <s v="P025"/>
    <s v="Robert Wilson"/>
    <s v="M"/>
    <d v="1966-08-14T00:00:00"/>
    <n v="7482069727"/>
    <s v="123 Elm St"/>
    <d v="2021-09-09T00:00:00"/>
    <s v="robert.wilson@mail.com"/>
    <s v="D005"/>
    <s v="Sarah Taylor"/>
    <s v="Dermatology"/>
    <n v="9118538547"/>
    <s v="Central Hospital"/>
    <d v="2023-10-25T00:00:00"/>
    <d v="1899-12-30T09:00:00"/>
    <s v="Checkup"/>
    <x v="1"/>
    <s v="T102"/>
    <s v="MRI"/>
    <n v="4460.3599999999997"/>
    <d v="2023-10-25T00:00:00"/>
    <s v="B102"/>
    <d v="2023-10-25T00:00:00"/>
    <n v="4460.3599999999997"/>
    <s v="Credit Card"/>
    <x v="0"/>
  </r>
  <r>
    <s v="A103"/>
    <s v="P021"/>
    <s v="Michael Wilson"/>
    <s v="M"/>
    <d v="2002-03-01T00:00:00"/>
    <n v="7765390555"/>
    <s v="321 Maple Dr"/>
    <d v="2022-01-19T00:00:00"/>
    <s v="michael.wilson@mail.com"/>
    <s v="D005"/>
    <s v="Sarah Taylor"/>
    <s v="Dermatology"/>
    <n v="9118538547"/>
    <s v="Central Hospital"/>
    <d v="2023-01-24T00:00:00"/>
    <d v="1899-12-30T08:30:00"/>
    <s v="Therapy"/>
    <x v="2"/>
    <s v="T103"/>
    <s v="ECG"/>
    <n v="3428.95"/>
    <d v="2023-01-24T00:00:00"/>
    <s v="B103"/>
    <d v="2023-01-24T00:00:00"/>
    <n v="3428.95"/>
    <s v="Credit Card"/>
    <x v="0"/>
  </r>
  <r>
    <s v="A104"/>
    <s v="P036"/>
    <s v="Michael Wilson"/>
    <s v="M"/>
    <d v="1997-12-26T00:00:00"/>
    <n v="8545613046"/>
    <s v="123 Elm St"/>
    <d v="2022-10-04T00:00:00"/>
    <s v="michael.wilson@mail.com"/>
    <s v="D006"/>
    <s v="Alex Davis"/>
    <s v="Pediatrics"/>
    <n v="6570137231"/>
    <s v="Central Hospital"/>
    <d v="2023-04-18T00:00:00"/>
    <d v="1899-12-30T08:45:00"/>
    <s v="Follow-up"/>
    <x v="3"/>
    <s v="T104"/>
    <s v="ECG"/>
    <n v="2898.31"/>
    <d v="2023-04-18T00:00:00"/>
    <s v="B104"/>
    <d v="2023-04-18T00:00:00"/>
    <n v="2898.31"/>
    <s v="Credit Card"/>
    <x v="2"/>
  </r>
  <r>
    <s v="A105"/>
    <s v="P010"/>
    <s v="Michael Taylor"/>
    <s v="M"/>
    <d v="2001-10-13T00:00:00"/>
    <n v="7081396733"/>
    <s v="123 Elm St"/>
    <d v="2022-08-24T00:00:00"/>
    <s v="michael.taylor@mail.com"/>
    <s v="D003"/>
    <s v="Jane Smith"/>
    <s v="Pediatrics"/>
    <n v="8737740598"/>
    <s v="Eastside Clinic"/>
    <d v="2023-08-14T00:00:00"/>
    <d v="1899-12-30T16:00:00"/>
    <s v="Checkup"/>
    <x v="1"/>
    <s v="T105"/>
    <s v="ECG"/>
    <n v="1959.5"/>
    <d v="2023-08-14T00:00:00"/>
    <s v="B105"/>
    <d v="2023-08-14T00:00:00"/>
    <n v="1959.5"/>
    <s v="Cash"/>
    <x v="0"/>
  </r>
  <r>
    <s v="A106"/>
    <s v="P037"/>
    <s v="Robert Williams"/>
    <s v="M"/>
    <d v="1999-02-05T00:00:00"/>
    <n v="8886800195"/>
    <s v="456 Oak Ave"/>
    <d v="2021-09-30T00:00:00"/>
    <s v="robert.williams@mail.com"/>
    <s v="D005"/>
    <s v="Sarah Taylor"/>
    <s v="Dermatology"/>
    <n v="9118538547"/>
    <s v="Central Hospital"/>
    <d v="2023-10-29T00:00:00"/>
    <d v="1899-12-30T11:15:00"/>
    <s v="Therapy"/>
    <x v="0"/>
    <s v="T106"/>
    <s v="X-Ray"/>
    <n v="1998.51"/>
    <d v="2023-10-29T00:00:00"/>
    <s v="B106"/>
    <d v="2023-10-29T00:00:00"/>
    <n v="1998.51"/>
    <s v="Credit Card"/>
    <x v="1"/>
  </r>
  <r>
    <s v="A107"/>
    <s v="P009"/>
    <s v="Laura Davis"/>
    <s v="M"/>
    <d v="1971-12-11T00:00:00"/>
    <n v="7060324619"/>
    <s v="321 Maple Dr"/>
    <d v="2022-09-18T00:00:00"/>
    <s v="laura.davis@mail.com"/>
    <s v="D007"/>
    <s v="Robert Davis"/>
    <s v="Oncology"/>
    <n v="8217493115"/>
    <s v="Westside Clinic"/>
    <d v="2023-04-17T00:00:00"/>
    <d v="1899-12-30T13:45:00"/>
    <s v="Follow-up"/>
    <x v="3"/>
    <s v="T107"/>
    <s v="Chemotherapy"/>
    <n v="3512.69"/>
    <d v="2023-04-17T00:00:00"/>
    <s v="B107"/>
    <d v="2023-04-17T00:00:00"/>
    <n v="3512.69"/>
    <s v="Credit Card"/>
    <x v="0"/>
  </r>
  <r>
    <s v="A108"/>
    <s v="P024"/>
    <s v="Sarah Brown"/>
    <s v="F"/>
    <d v="1991-11-04T00:00:00"/>
    <n v="7196777444"/>
    <s v="321 Maple Dr"/>
    <d v="2021-09-02T00:00:00"/>
    <s v="sarah.brown@mail.com"/>
    <s v="D005"/>
    <s v="Sarah Taylor"/>
    <s v="Dermatology"/>
    <n v="9118538547"/>
    <s v="Central Hospital"/>
    <d v="2023-04-21T00:00:00"/>
    <d v="1899-12-30T15:00:00"/>
    <s v="Emergency"/>
    <x v="2"/>
    <s v="T108"/>
    <s v="X-Ray"/>
    <n v="4973.63"/>
    <d v="2023-04-21T00:00:00"/>
    <s v="B108"/>
    <d v="2023-04-21T00:00:00"/>
    <n v="4973.63"/>
    <s v="Cash"/>
    <x v="1"/>
  </r>
  <r>
    <s v="A109"/>
    <s v="P035"/>
    <s v="David Wilson"/>
    <s v="F"/>
    <d v="1993-04-13T00:00:00"/>
    <n v="7039619487"/>
    <s v="123 Elm St"/>
    <d v="2023-07-09T00:00:00"/>
    <s v="david.wilson@mail.com"/>
    <s v="D005"/>
    <s v="Sarah Taylor"/>
    <s v="Dermatology"/>
    <n v="9118538547"/>
    <s v="Central Hospital"/>
    <d v="2023-07-29T00:00:00"/>
    <d v="1899-12-30T14:00:00"/>
    <s v="Follow-up"/>
    <x v="0"/>
    <s v="T109"/>
    <s v="Chemotherapy"/>
    <n v="3478.28"/>
    <d v="2023-07-29T00:00:00"/>
    <s v="B109"/>
    <d v="2023-07-29T00:00:00"/>
    <n v="3478.28"/>
    <s v="Cash"/>
    <x v="0"/>
  </r>
  <r>
    <s v="A110"/>
    <s v="P049"/>
    <s v="David Moore"/>
    <s v="M"/>
    <d v="1972-11-26T00:00:00"/>
    <n v="7712937941"/>
    <s v="321 Maple Dr"/>
    <d v="2023-06-14T00:00:00"/>
    <s v="david.moore@mail.com"/>
    <s v="D005"/>
    <s v="Sarah Taylor"/>
    <s v="Dermatology"/>
    <n v="9118538547"/>
    <s v="Central Hospital"/>
    <d v="2023-07-19T00:00:00"/>
    <d v="1899-12-30T14:30:00"/>
    <s v="Consultation"/>
    <x v="0"/>
    <s v="T110"/>
    <s v="Chemotherapy"/>
    <n v="3010.03"/>
    <d v="2023-07-19T00:00:00"/>
    <s v="B110"/>
    <d v="2023-07-19T00:00:00"/>
    <n v="3010.03"/>
    <s v="Cash"/>
    <x v="2"/>
  </r>
  <r>
    <s v="A111"/>
    <s v="P035"/>
    <s v="David Wilson"/>
    <s v="F"/>
    <d v="1993-04-13T00:00:00"/>
    <n v="7039619487"/>
    <s v="123 Elm St"/>
    <d v="2023-07-09T00:00:00"/>
    <s v="david.wilson@mail.com"/>
    <s v="D010"/>
    <s v="Linda Wilson"/>
    <s v="Oncology"/>
    <n v="6176383634"/>
    <s v="Eastside Clinic"/>
    <d v="2023-05-22T00:00:00"/>
    <d v="1899-12-30T15:30:00"/>
    <s v="Follow-up"/>
    <x v="0"/>
    <s v="T111"/>
    <s v="MRI"/>
    <n v="3787.93"/>
    <d v="2023-05-22T00:00:00"/>
    <s v="B111"/>
    <d v="2023-05-22T00:00:00"/>
    <n v="3787.93"/>
    <s v="Credit Card"/>
    <x v="1"/>
  </r>
  <r>
    <s v="A112"/>
    <s v="P048"/>
    <s v="Emily Miller"/>
    <s v="M"/>
    <d v="1983-03-24T00:00:00"/>
    <n v="8720989381"/>
    <s v="123 Elm St"/>
    <d v="2023-06-19T00:00:00"/>
    <s v="emily.miller@mail.com"/>
    <s v="D010"/>
    <s v="Linda Wilson"/>
    <s v="Oncology"/>
    <n v="6176383634"/>
    <s v="Eastside Clinic"/>
    <d v="2023-01-11T00:00:00"/>
    <d v="1899-12-30T08:00:00"/>
    <s v="Follow-up"/>
    <x v="1"/>
    <s v="T112"/>
    <s v="MRI"/>
    <n v="2593.4299999999998"/>
    <d v="2023-01-11T00:00:00"/>
    <s v="B112"/>
    <d v="2023-01-11T00:00:00"/>
    <n v="2593.4299999999998"/>
    <s v="Insurance"/>
    <x v="0"/>
  </r>
  <r>
    <s v="A113"/>
    <s v="P036"/>
    <s v="Michael Wilson"/>
    <s v="M"/>
    <d v="1997-12-26T00:00:00"/>
    <n v="8545613046"/>
    <s v="123 Elm St"/>
    <d v="2022-10-04T00:00:00"/>
    <s v="michael.wilson@mail.com"/>
    <s v="D003"/>
    <s v="Jane Smith"/>
    <s v="Pediatrics"/>
    <n v="8737740598"/>
    <s v="Eastside Clinic"/>
    <d v="2023-11-24T00:00:00"/>
    <d v="1899-12-30T15:30:00"/>
    <s v="Consultation"/>
    <x v="2"/>
    <s v="T113"/>
    <s v="Chemotherapy"/>
    <n v="770.64"/>
    <d v="2023-11-24T00:00:00"/>
    <s v="B113"/>
    <d v="2023-11-24T00:00:00"/>
    <n v="770.64"/>
    <s v="Insurance"/>
    <x v="0"/>
  </r>
  <r>
    <s v="A114"/>
    <s v="P018"/>
    <s v="Laura Wilson"/>
    <s v="M"/>
    <d v="1979-09-24T00:00:00"/>
    <n v="7145815738"/>
    <s v="789 Pine Rd"/>
    <d v="2022-09-23T00:00:00"/>
    <s v="laura.wilson@mail.com"/>
    <s v="D001"/>
    <s v="David Taylor"/>
    <s v="Dermatology"/>
    <n v="8322010158"/>
    <s v="Westside Clinic"/>
    <d v="2023-08-08T00:00:00"/>
    <d v="1899-12-30T09:00:00"/>
    <s v="Therapy"/>
    <x v="3"/>
    <s v="T114"/>
    <s v="Chemotherapy"/>
    <n v="3030.34"/>
    <d v="2023-08-08T00:00:00"/>
    <s v="B114"/>
    <d v="2023-08-08T00:00:00"/>
    <n v="3030.34"/>
    <s v="Cash"/>
    <x v="0"/>
  </r>
  <r>
    <s v="A115"/>
    <s v="P049"/>
    <s v="David Moore"/>
    <s v="M"/>
    <d v="1972-11-26T00:00:00"/>
    <n v="7712937941"/>
    <s v="321 Maple Dr"/>
    <d v="2023-06-14T00:00:00"/>
    <s v="david.moore@mail.com"/>
    <s v="D005"/>
    <s v="Sarah Taylor"/>
    <s v="Dermatology"/>
    <n v="9118538547"/>
    <s v="Central Hospital"/>
    <d v="2023-10-25T00:00:00"/>
    <d v="1899-12-30T10:30:00"/>
    <s v="Therapy"/>
    <x v="1"/>
    <s v="T115"/>
    <s v="X-Ray"/>
    <n v="4809.3100000000004"/>
    <d v="2023-10-25T00:00:00"/>
    <s v="B115"/>
    <d v="2023-10-25T00:00:00"/>
    <n v="4809.3100000000004"/>
    <s v="Insurance"/>
    <x v="1"/>
  </r>
  <r>
    <s v="A116"/>
    <s v="P039"/>
    <s v="Jane Wilson"/>
    <s v="F"/>
    <d v="1950-12-12T00:00:00"/>
    <n v="9271131338"/>
    <s v="789 Pine Rd"/>
    <d v="2021-03-09T00:00:00"/>
    <s v="jane.wilson@mail.com"/>
    <s v="D009"/>
    <s v="Sarah Smith"/>
    <s v="Pediatrics"/>
    <n v="7387087517"/>
    <s v="Central Hospital"/>
    <d v="2023-07-07T00:00:00"/>
    <d v="1899-12-30T09:15:00"/>
    <s v="Follow-up"/>
    <x v="1"/>
    <s v="T116"/>
    <s v="X-Ray"/>
    <n v="1288.8599999999999"/>
    <d v="2023-07-07T00:00:00"/>
    <s v="B116"/>
    <d v="2023-07-07T00:00:00"/>
    <n v="1288.8599999999999"/>
    <s v="Cash"/>
    <x v="1"/>
  </r>
  <r>
    <s v="A117"/>
    <s v="P032"/>
    <s v="Alex Moore"/>
    <s v="M"/>
    <d v="1981-01-08T00:00:00"/>
    <n v="8102183595"/>
    <s v="123 Elm St"/>
    <d v="2021-10-02T00:00:00"/>
    <s v="alex.moore@mail.com"/>
    <s v="D001"/>
    <s v="David Taylor"/>
    <s v="Dermatology"/>
    <n v="8322010158"/>
    <s v="Westside Clinic"/>
    <d v="2023-06-20T00:00:00"/>
    <d v="1899-12-30T13:45:00"/>
    <s v="Consultation"/>
    <x v="1"/>
    <s v="T117"/>
    <s v="MRI"/>
    <n v="3605.02"/>
    <d v="2023-06-20T00:00:00"/>
    <s v="B117"/>
    <d v="2023-06-20T00:00:00"/>
    <n v="3605.02"/>
    <s v="Credit Card"/>
    <x v="1"/>
  </r>
  <r>
    <s v="A118"/>
    <s v="P024"/>
    <s v="Sarah Brown"/>
    <s v="F"/>
    <d v="1991-11-04T00:00:00"/>
    <n v="7196777444"/>
    <s v="321 Maple Dr"/>
    <d v="2021-09-02T00:00:00"/>
    <s v="sarah.brown@mail.com"/>
    <s v="D003"/>
    <s v="Jane Smith"/>
    <s v="Pediatrics"/>
    <n v="8737740598"/>
    <s v="Eastside Clinic"/>
    <d v="2023-08-09T00:00:00"/>
    <d v="1899-12-30T08:15:00"/>
    <s v="Consultation"/>
    <x v="0"/>
    <s v="T118"/>
    <s v="ECG"/>
    <n v="1404.2"/>
    <d v="2023-08-09T00:00:00"/>
    <s v="B118"/>
    <d v="2023-08-09T00:00:00"/>
    <n v="1404.2"/>
    <s v="Insurance"/>
    <x v="2"/>
  </r>
  <r>
    <s v="A119"/>
    <s v="P023"/>
    <s v="Linda Johnson"/>
    <s v="M"/>
    <d v="1994-02-22T00:00:00"/>
    <n v="6141951830"/>
    <s v="789 Pine Rd"/>
    <d v="2021-12-27T00:00:00"/>
    <s v="linda.johnson@mail.com"/>
    <s v="D004"/>
    <s v="David Jones"/>
    <s v="Pediatrics"/>
    <n v="6594221991"/>
    <s v="Central Hospital"/>
    <d v="2023-12-18T00:00:00"/>
    <d v="1899-12-30T13:30:00"/>
    <s v="Emergency"/>
    <x v="2"/>
    <s v="T119"/>
    <s v="Chemotherapy"/>
    <n v="2911.22"/>
    <d v="2023-12-18T00:00:00"/>
    <s v="B119"/>
    <d v="2023-12-18T00:00:00"/>
    <n v="2911.22"/>
    <s v="Credit Card"/>
    <x v="2"/>
  </r>
  <r>
    <s v="A120"/>
    <s v="P032"/>
    <s v="Alex Moore"/>
    <s v="M"/>
    <d v="1981-01-08T00:00:00"/>
    <n v="8102183595"/>
    <s v="123 Elm St"/>
    <d v="2021-10-02T00:00:00"/>
    <s v="alex.moore@mail.com"/>
    <s v="D001"/>
    <s v="David Taylor"/>
    <s v="Dermatology"/>
    <n v="8322010158"/>
    <s v="Westside Clinic"/>
    <d v="2023-12-08T00:00:00"/>
    <d v="1899-12-30T11:00:00"/>
    <s v="Therapy"/>
    <x v="1"/>
    <s v="T120"/>
    <s v="X-Ray"/>
    <n v="935.04"/>
    <d v="2023-12-08T00:00:00"/>
    <s v="B120"/>
    <d v="2023-12-08T00:00:00"/>
    <n v="935.04"/>
    <s v="Insurance"/>
    <x v="1"/>
  </r>
  <r>
    <s v="A121"/>
    <s v="P037"/>
    <s v="Robert Williams"/>
    <s v="M"/>
    <d v="1999-02-05T00:00:00"/>
    <n v="8886800195"/>
    <s v="456 Oak Ave"/>
    <d v="2021-09-30T00:00:00"/>
    <s v="robert.williams@mail.com"/>
    <s v="D001"/>
    <s v="David Taylor"/>
    <s v="Dermatology"/>
    <n v="8322010158"/>
    <s v="Westside Clinic"/>
    <d v="2023-04-07T00:00:00"/>
    <d v="1899-12-30T15:00:00"/>
    <s v="Checkup"/>
    <x v="3"/>
    <s v="T121"/>
    <s v="MRI"/>
    <n v="2526.67"/>
    <d v="2023-04-07T00:00:00"/>
    <s v="B121"/>
    <d v="2023-04-07T00:00:00"/>
    <n v="2526.67"/>
    <s v="Credit Card"/>
    <x v="0"/>
  </r>
  <r>
    <s v="A122"/>
    <s v="P012"/>
    <s v="Laura Davis"/>
    <s v="F"/>
    <d v="1991-12-08T00:00:00"/>
    <n v="8135666049"/>
    <s v="321 Maple Dr"/>
    <d v="2023-04-27T00:00:00"/>
    <s v="laura.davis@mail.com"/>
    <s v="D008"/>
    <s v="Linda Brown"/>
    <s v="Dermatology"/>
    <n v="9069162601"/>
    <s v="Westside Clinic"/>
    <d v="2023-07-11T00:00:00"/>
    <d v="1899-12-30T14:30:00"/>
    <s v="Therapy"/>
    <x v="2"/>
    <s v="T122"/>
    <s v="X-Ray"/>
    <n v="3902.73"/>
    <d v="2023-07-11T00:00:00"/>
    <s v="B122"/>
    <d v="2023-07-11T00:00:00"/>
    <n v="3902.73"/>
    <s v="Insurance"/>
    <x v="2"/>
  </r>
  <r>
    <s v="A123"/>
    <s v="P049"/>
    <s v="David Moore"/>
    <s v="M"/>
    <d v="1972-11-26T00:00:00"/>
    <n v="7712937941"/>
    <s v="321 Maple Dr"/>
    <d v="2023-06-14T00:00:00"/>
    <s v="david.moore@mail.com"/>
    <s v="D002"/>
    <s v="Jane Davis"/>
    <s v="Pediatrics"/>
    <n v="9004382050"/>
    <s v="Eastside Clinic"/>
    <d v="2023-02-28T00:00:00"/>
    <d v="1899-12-30T10:45:00"/>
    <s v="Therapy"/>
    <x v="3"/>
    <s v="T123"/>
    <s v="Chemotherapy"/>
    <n v="2064.0700000000002"/>
    <d v="2023-02-28T00:00:00"/>
    <s v="B123"/>
    <d v="2023-02-28T00:00:00"/>
    <n v="2064.0700000000002"/>
    <s v="Credit Card"/>
    <x v="1"/>
  </r>
  <r>
    <s v="A124"/>
    <s v="P013"/>
    <s v="Laura Johnson"/>
    <s v="F"/>
    <d v="1990-03-28T00:00:00"/>
    <n v="9059178882"/>
    <s v="321 Maple Dr"/>
    <d v="2021-12-23T00:00:00"/>
    <s v="laura.johnson@mail.com"/>
    <s v="D008"/>
    <s v="Linda Brown"/>
    <s v="Dermatology"/>
    <n v="9069162601"/>
    <s v="Westside Clinic"/>
    <d v="2023-03-16T00:00:00"/>
    <d v="1899-12-30T17:15:00"/>
    <s v="Emergency"/>
    <x v="2"/>
    <s v="T124"/>
    <s v="Chemotherapy"/>
    <n v="3492.1"/>
    <d v="2023-03-16T00:00:00"/>
    <s v="B124"/>
    <d v="2023-03-16T00:00:00"/>
    <n v="3492.1"/>
    <s v="Credit Card"/>
    <x v="0"/>
  </r>
  <r>
    <s v="A125"/>
    <s v="P023"/>
    <s v="Linda Johnson"/>
    <s v="M"/>
    <d v="1994-02-22T00:00:00"/>
    <n v="6141951830"/>
    <s v="789 Pine Rd"/>
    <d v="2021-12-27T00:00:00"/>
    <s v="linda.johnson@mail.com"/>
    <s v="D007"/>
    <s v="Robert Davis"/>
    <s v="Oncology"/>
    <n v="8217493115"/>
    <s v="Westside Clinic"/>
    <d v="2023-02-18T00:00:00"/>
    <d v="1899-12-30T10:15:00"/>
    <s v="Checkup"/>
    <x v="3"/>
    <s v="T125"/>
    <s v="Physiotherapy"/>
    <n v="4079.52"/>
    <d v="2023-02-18T00:00:00"/>
    <s v="B125"/>
    <d v="2023-02-18T00:00:00"/>
    <n v="4079.52"/>
    <s v="Insurance"/>
    <x v="2"/>
  </r>
  <r>
    <s v="A126"/>
    <s v="P025"/>
    <s v="Robert Wilson"/>
    <s v="M"/>
    <d v="1966-08-14T00:00:00"/>
    <n v="7482069727"/>
    <s v="123 Elm St"/>
    <d v="2021-09-09T00:00:00"/>
    <s v="robert.wilson@mail.com"/>
    <s v="D010"/>
    <s v="Linda Wilson"/>
    <s v="Oncology"/>
    <n v="6176383634"/>
    <s v="Eastside Clinic"/>
    <d v="2023-11-02T00:00:00"/>
    <d v="1899-12-30T09:45:00"/>
    <s v="Emergency"/>
    <x v="0"/>
    <s v="T126"/>
    <s v="ECG"/>
    <n v="4672.3"/>
    <d v="2023-11-02T00:00:00"/>
    <s v="B126"/>
    <d v="2023-11-02T00:00:00"/>
    <n v="4672.3"/>
    <s v="Credit Card"/>
    <x v="0"/>
  </r>
  <r>
    <s v="A127"/>
    <s v="P035"/>
    <s v="David Wilson"/>
    <s v="F"/>
    <d v="1993-04-13T00:00:00"/>
    <n v="7039619487"/>
    <s v="123 Elm St"/>
    <d v="2023-07-09T00:00:00"/>
    <s v="david.wilson@mail.com"/>
    <s v="D010"/>
    <s v="Linda Wilson"/>
    <s v="Oncology"/>
    <n v="6176383634"/>
    <s v="Eastside Clinic"/>
    <d v="2023-11-13T00:00:00"/>
    <d v="1899-12-30T08:30:00"/>
    <s v="Checkup"/>
    <x v="1"/>
    <s v="T127"/>
    <s v="Physiotherapy"/>
    <n v="1555.89"/>
    <d v="2023-11-13T00:00:00"/>
    <s v="B127"/>
    <d v="2023-11-13T00:00:00"/>
    <n v="1555.89"/>
    <s v="Credit Card"/>
    <x v="0"/>
  </r>
  <r>
    <s v="A128"/>
    <s v="P041"/>
    <s v="Robert Williams"/>
    <s v="M"/>
    <d v="1951-06-19T00:00:00"/>
    <n v="7020645498"/>
    <s v="456 Oak Ave"/>
    <d v="2022-07-16T00:00:00"/>
    <s v="robert.williams@mail.com"/>
    <s v="D002"/>
    <s v="Jane Davis"/>
    <s v="Pediatrics"/>
    <n v="9004382050"/>
    <s v="Eastside Clinic"/>
    <d v="2023-04-15T00:00:00"/>
    <d v="1899-12-30T14:45:00"/>
    <s v="Follow-up"/>
    <x v="3"/>
    <s v="T128"/>
    <s v="MRI"/>
    <n v="2296.92"/>
    <d v="2023-04-15T00:00:00"/>
    <s v="B128"/>
    <d v="2023-04-15T00:00:00"/>
    <n v="2296.92"/>
    <s v="Credit Card"/>
    <x v="0"/>
  </r>
  <r>
    <s v="A129"/>
    <s v="P030"/>
    <s v="Emily Moore"/>
    <s v="M"/>
    <d v="1964-12-23T00:00:00"/>
    <n v="6622318721"/>
    <s v="456 Oak Ave"/>
    <d v="2021-08-07T00:00:00"/>
    <s v="emily.moore@mail.com"/>
    <s v="D006"/>
    <s v="Alex Davis"/>
    <s v="Pediatrics"/>
    <n v="6570137231"/>
    <s v="Central Hospital"/>
    <d v="2023-08-25T00:00:00"/>
    <d v="1899-12-30T09:30:00"/>
    <s v="Checkup"/>
    <x v="2"/>
    <s v="T129"/>
    <s v="X-Ray"/>
    <n v="1185.8699999999999"/>
    <d v="2023-08-25T00:00:00"/>
    <s v="B129"/>
    <d v="2023-08-25T00:00:00"/>
    <n v="1185.8699999999999"/>
    <s v="Insurance"/>
    <x v="0"/>
  </r>
  <r>
    <s v="A130"/>
    <s v="P017"/>
    <s v="Jane Jones"/>
    <s v="M"/>
    <d v="1991-05-01T00:00:00"/>
    <n v="6158428240"/>
    <s v="456 Oak Ave"/>
    <d v="2022-09-26T00:00:00"/>
    <s v="jane.jones@mail.com"/>
    <s v="D006"/>
    <s v="Alex Davis"/>
    <s v="Pediatrics"/>
    <n v="6570137231"/>
    <s v="Central Hospital"/>
    <d v="2023-02-23T00:00:00"/>
    <d v="1899-12-30T15:00:00"/>
    <s v="Emergency"/>
    <x v="1"/>
    <s v="T130"/>
    <s v="MRI"/>
    <n v="4966.18"/>
    <d v="2023-02-23T00:00:00"/>
    <s v="B130"/>
    <d v="2023-02-23T00:00:00"/>
    <n v="4966.18"/>
    <s v="Insurance"/>
    <x v="2"/>
  </r>
  <r>
    <s v="A131"/>
    <s v="P049"/>
    <s v="David Moore"/>
    <s v="M"/>
    <d v="1972-11-26T00:00:00"/>
    <n v="7712937941"/>
    <s v="321 Maple Dr"/>
    <d v="2023-06-14T00:00:00"/>
    <s v="david.moore@mail.com"/>
    <s v="D003"/>
    <s v="Jane Smith"/>
    <s v="Pediatrics"/>
    <n v="8737740598"/>
    <s v="Eastside Clinic"/>
    <d v="2023-05-11T00:00:00"/>
    <d v="1899-12-30T16:30:00"/>
    <s v="Therapy"/>
    <x v="1"/>
    <s v="T131"/>
    <s v="Chemotherapy"/>
    <n v="4671.5"/>
    <d v="2023-05-11T00:00:00"/>
    <s v="B131"/>
    <d v="2023-05-11T00:00:00"/>
    <n v="4671.5"/>
    <s v="Credit Card"/>
    <x v="2"/>
  </r>
  <r>
    <s v="A132"/>
    <s v="P020"/>
    <s v="Jane Moore"/>
    <s v="F"/>
    <d v="2003-06-06T00:00:00"/>
    <n v="8158989953"/>
    <s v="789 Pine Rd"/>
    <d v="2022-04-03T00:00:00"/>
    <s v="jane.moore@mail.com"/>
    <s v="D002"/>
    <s v="Jane Davis"/>
    <s v="Pediatrics"/>
    <n v="9004382050"/>
    <s v="Eastside Clinic"/>
    <d v="2023-07-26T00:00:00"/>
    <d v="1899-12-30T10:45:00"/>
    <s v="Checkup"/>
    <x v="2"/>
    <s v="T132"/>
    <s v="Physiotherapy"/>
    <n v="2929.81"/>
    <d v="2023-07-26T00:00:00"/>
    <s v="B132"/>
    <d v="2023-07-26T00:00:00"/>
    <n v="2929.81"/>
    <s v="Credit Card"/>
    <x v="2"/>
  </r>
  <r>
    <s v="A133"/>
    <s v="P048"/>
    <s v="Emily Miller"/>
    <s v="M"/>
    <d v="1983-03-24T00:00:00"/>
    <n v="8720989381"/>
    <s v="123 Elm St"/>
    <d v="2023-06-19T00:00:00"/>
    <s v="emily.miller@mail.com"/>
    <s v="D001"/>
    <s v="David Taylor"/>
    <s v="Dermatology"/>
    <n v="8322010158"/>
    <s v="Westside Clinic"/>
    <d v="2023-03-23T00:00:00"/>
    <d v="1899-12-30T14:30:00"/>
    <s v="Checkup"/>
    <x v="3"/>
    <s v="T133"/>
    <s v="Physiotherapy"/>
    <n v="4289.1499999999996"/>
    <d v="2023-03-23T00:00:00"/>
    <s v="B133"/>
    <d v="2023-03-23T00:00:00"/>
    <n v="4289.1499999999996"/>
    <s v="Insurance"/>
    <x v="1"/>
  </r>
  <r>
    <s v="A134"/>
    <s v="P025"/>
    <s v="Robert Wilson"/>
    <s v="M"/>
    <d v="1966-08-14T00:00:00"/>
    <n v="7482069727"/>
    <s v="123 Elm St"/>
    <d v="2021-09-09T00:00:00"/>
    <s v="robert.wilson@mail.com"/>
    <s v="D006"/>
    <s v="Alex Davis"/>
    <s v="Pediatrics"/>
    <n v="6570137231"/>
    <s v="Central Hospital"/>
    <d v="2023-10-17T00:00:00"/>
    <d v="1899-12-30T15:15:00"/>
    <s v="Consultation"/>
    <x v="0"/>
    <s v="T134"/>
    <s v="Physiotherapy"/>
    <n v="2844.31"/>
    <d v="2023-10-17T00:00:00"/>
    <s v="B134"/>
    <d v="2023-10-17T00:00:00"/>
    <n v="2844.31"/>
    <s v="Insurance"/>
    <x v="2"/>
  </r>
  <r>
    <s v="A135"/>
    <s v="P022"/>
    <s v="John Brown"/>
    <s v="M"/>
    <d v="1955-05-10T00:00:00"/>
    <n v="6221099573"/>
    <s v="321 Maple Dr"/>
    <d v="2021-05-11T00:00:00"/>
    <s v="john.brown@mail.com"/>
    <s v="D005"/>
    <s v="Sarah Taylor"/>
    <s v="Dermatology"/>
    <n v="9118538547"/>
    <s v="Central Hospital"/>
    <d v="2023-09-09T00:00:00"/>
    <d v="1899-12-30T16:30:00"/>
    <s v="Therapy"/>
    <x v="0"/>
    <s v="T135"/>
    <s v="MRI"/>
    <n v="3306.14"/>
    <d v="2023-09-09T00:00:00"/>
    <s v="B135"/>
    <d v="2023-09-09T00:00:00"/>
    <n v="3306.14"/>
    <s v="Credit Card"/>
    <x v="0"/>
  </r>
  <r>
    <s v="A136"/>
    <s v="P013"/>
    <s v="Laura Johnson"/>
    <s v="F"/>
    <d v="1990-03-28T00:00:00"/>
    <n v="9059178882"/>
    <s v="321 Maple Dr"/>
    <d v="2021-12-23T00:00:00"/>
    <s v="laura.johnson@mail.com"/>
    <s v="D009"/>
    <s v="Sarah Smith"/>
    <s v="Pediatrics"/>
    <n v="7387087517"/>
    <s v="Central Hospital"/>
    <d v="2023-05-13T00:00:00"/>
    <d v="1899-12-30T12:30:00"/>
    <s v="Follow-up"/>
    <x v="3"/>
    <s v="T136"/>
    <s v="Chemotherapy"/>
    <n v="901.06"/>
    <d v="2023-05-13T00:00:00"/>
    <s v="B136"/>
    <d v="2023-05-13T00:00:00"/>
    <n v="901.06"/>
    <s v="Credit Card"/>
    <x v="2"/>
  </r>
  <r>
    <s v="A137"/>
    <s v="P019"/>
    <s v="Sarah Miller"/>
    <s v="M"/>
    <d v="1975-05-24T00:00:00"/>
    <n v="8618058864"/>
    <s v="789 Pine Rd"/>
    <d v="2023-06-24T00:00:00"/>
    <s v="sarah.miller@mail.com"/>
    <s v="D001"/>
    <s v="David Taylor"/>
    <s v="Dermatology"/>
    <n v="8322010158"/>
    <s v="Westside Clinic"/>
    <d v="2023-10-25T00:00:00"/>
    <d v="1899-12-30T10:00:00"/>
    <s v="Emergency"/>
    <x v="1"/>
    <s v="T137"/>
    <s v="X-Ray"/>
    <n v="3898.72"/>
    <d v="2023-10-25T00:00:00"/>
    <s v="B137"/>
    <d v="2023-10-25T00:00:00"/>
    <n v="3898.72"/>
    <s v="Credit Card"/>
    <x v="0"/>
  </r>
  <r>
    <s v="A138"/>
    <s v="P049"/>
    <s v="David Moore"/>
    <s v="M"/>
    <d v="1972-11-26T00:00:00"/>
    <n v="7712937941"/>
    <s v="321 Maple Dr"/>
    <d v="2023-06-14T00:00:00"/>
    <s v="david.moore@mail.com"/>
    <s v="D007"/>
    <s v="Robert Davis"/>
    <s v="Oncology"/>
    <n v="8217493115"/>
    <s v="Westside Clinic"/>
    <d v="2023-12-26T00:00:00"/>
    <d v="1899-12-30T15:15:00"/>
    <s v="Follow-up"/>
    <x v="1"/>
    <s v="T138"/>
    <s v="X-Ray"/>
    <n v="1074.71"/>
    <d v="2023-12-26T00:00:00"/>
    <s v="B138"/>
    <d v="2023-12-26T00:00:00"/>
    <n v="1074.71"/>
    <s v="Cash"/>
    <x v="1"/>
  </r>
  <r>
    <s v="A139"/>
    <s v="P036"/>
    <s v="Michael Wilson"/>
    <s v="M"/>
    <d v="1997-12-26T00:00:00"/>
    <n v="8545613046"/>
    <s v="123 Elm St"/>
    <d v="2022-10-04T00:00:00"/>
    <s v="michael.wilson@mail.com"/>
    <s v="D005"/>
    <s v="Sarah Taylor"/>
    <s v="Dermatology"/>
    <n v="9118538547"/>
    <s v="Central Hospital"/>
    <d v="2023-10-10T00:00:00"/>
    <d v="1899-12-30T10:45:00"/>
    <s v="Therapy"/>
    <x v="1"/>
    <s v="T139"/>
    <s v="MRI"/>
    <n v="4217.3"/>
    <d v="2023-10-10T00:00:00"/>
    <s v="B139"/>
    <d v="2023-10-10T00:00:00"/>
    <n v="4217.3"/>
    <s v="Insurance"/>
    <x v="0"/>
  </r>
  <r>
    <s v="A140"/>
    <s v="P012"/>
    <s v="Laura Davis"/>
    <s v="F"/>
    <d v="1991-12-08T00:00:00"/>
    <n v="8135666049"/>
    <s v="321 Maple Dr"/>
    <d v="2023-04-27T00:00:00"/>
    <s v="laura.davis@mail.com"/>
    <s v="D005"/>
    <s v="Sarah Taylor"/>
    <s v="Dermatology"/>
    <n v="9118538547"/>
    <s v="Central Hospital"/>
    <d v="2023-02-05T00:00:00"/>
    <d v="1899-12-30T15:15:00"/>
    <s v="Checkup"/>
    <x v="1"/>
    <s v="T140"/>
    <s v="Physiotherapy"/>
    <n v="4019.13"/>
    <d v="2023-02-05T00:00:00"/>
    <s v="B140"/>
    <d v="2023-02-05T00:00:00"/>
    <n v="4019.13"/>
    <s v="Cash"/>
    <x v="0"/>
  </r>
  <r>
    <s v="A141"/>
    <s v="P041"/>
    <s v="Robert Williams"/>
    <s v="M"/>
    <d v="1951-06-19T00:00:00"/>
    <n v="7020645498"/>
    <s v="456 Oak Ave"/>
    <d v="2022-07-16T00:00:00"/>
    <s v="robert.williams@mail.com"/>
    <s v="D002"/>
    <s v="Jane Davis"/>
    <s v="Pediatrics"/>
    <n v="9004382050"/>
    <s v="Eastside Clinic"/>
    <d v="2023-06-15T00:00:00"/>
    <d v="1899-12-30T15:15:00"/>
    <s v="Checkup"/>
    <x v="3"/>
    <s v="T141"/>
    <s v="ECG"/>
    <n v="3689.35"/>
    <d v="2023-06-15T00:00:00"/>
    <s v="B141"/>
    <d v="2023-06-15T00:00:00"/>
    <n v="3689.35"/>
    <s v="Insurance"/>
    <x v="0"/>
  </r>
  <r>
    <s v="A142"/>
    <s v="P019"/>
    <s v="Sarah Miller"/>
    <s v="M"/>
    <d v="1975-05-24T00:00:00"/>
    <n v="8618058864"/>
    <s v="789 Pine Rd"/>
    <d v="2023-06-24T00:00:00"/>
    <s v="sarah.miller@mail.com"/>
    <s v="D003"/>
    <s v="Jane Smith"/>
    <s v="Pediatrics"/>
    <n v="8737740598"/>
    <s v="Eastside Clinic"/>
    <d v="2023-11-01T00:00:00"/>
    <d v="1899-12-30T11:45:00"/>
    <s v="Therapy"/>
    <x v="1"/>
    <s v="T142"/>
    <s v="MRI"/>
    <n v="662.72"/>
    <d v="2023-11-01T00:00:00"/>
    <s v="B142"/>
    <d v="2023-11-01T00:00:00"/>
    <n v="662.72"/>
    <s v="Insurance"/>
    <x v="1"/>
  </r>
  <r>
    <s v="A143"/>
    <s v="P012"/>
    <s v="Laura Davis"/>
    <s v="F"/>
    <d v="1991-12-08T00:00:00"/>
    <n v="8135666049"/>
    <s v="321 Maple Dr"/>
    <d v="2023-04-27T00:00:00"/>
    <s v="laura.davis@mail.com"/>
    <s v="D007"/>
    <s v="Robert Davis"/>
    <s v="Oncology"/>
    <n v="8217493115"/>
    <s v="Westside Clinic"/>
    <d v="2023-09-21T00:00:00"/>
    <d v="1899-12-30T12:15:00"/>
    <s v="Checkup"/>
    <x v="2"/>
    <s v="T143"/>
    <s v="MRI"/>
    <n v="1864.08"/>
    <d v="2023-09-21T00:00:00"/>
    <s v="B143"/>
    <d v="2023-09-21T00:00:00"/>
    <n v="1864.08"/>
    <s v="Insurance"/>
    <x v="2"/>
  </r>
  <r>
    <s v="A144"/>
    <s v="P009"/>
    <s v="Laura Davis"/>
    <s v="M"/>
    <d v="1971-12-11T00:00:00"/>
    <n v="7060324619"/>
    <s v="321 Maple Dr"/>
    <d v="2022-09-18T00:00:00"/>
    <s v="laura.davis@mail.com"/>
    <s v="D006"/>
    <s v="Alex Davis"/>
    <s v="Pediatrics"/>
    <n v="6570137231"/>
    <s v="Central Hospital"/>
    <d v="2023-08-16T00:00:00"/>
    <d v="1899-12-30T12:15:00"/>
    <s v="Checkup"/>
    <x v="1"/>
    <s v="T144"/>
    <s v="Chemotherapy"/>
    <n v="1684.01"/>
    <d v="2023-08-16T00:00:00"/>
    <s v="B144"/>
    <d v="2023-08-16T00:00:00"/>
    <n v="1684.01"/>
    <s v="Insurance"/>
    <x v="2"/>
  </r>
  <r>
    <s v="A145"/>
    <s v="P007"/>
    <s v="Alex Johnson"/>
    <s v="F"/>
    <d v="1989-06-08T00:00:00"/>
    <n v="6278710077"/>
    <s v="789 Pine Rd"/>
    <d v="2021-12-25T00:00:00"/>
    <s v="alex.johnson@mail.com"/>
    <s v="D002"/>
    <s v="Jane Davis"/>
    <s v="Pediatrics"/>
    <n v="9004382050"/>
    <s v="Eastside Clinic"/>
    <d v="2023-11-11T00:00:00"/>
    <d v="1899-12-30T14:45:00"/>
    <s v="Checkup"/>
    <x v="0"/>
    <s v="T145"/>
    <s v="X-Ray"/>
    <n v="2120.61"/>
    <d v="2023-11-11T00:00:00"/>
    <s v="B145"/>
    <d v="2023-11-11T00:00:00"/>
    <n v="2120.61"/>
    <s v="Insurance"/>
    <x v="1"/>
  </r>
  <r>
    <s v="A146"/>
    <s v="P028"/>
    <s v="Alex Moore"/>
    <s v="M"/>
    <d v="1993-04-13T00:00:00"/>
    <n v="7028910482"/>
    <s v="321 Maple Dr"/>
    <d v="2023-05-20T00:00:00"/>
    <s v="alex.moore@mail.com"/>
    <s v="D006"/>
    <s v="Alex Davis"/>
    <s v="Pediatrics"/>
    <n v="6570137231"/>
    <s v="Central Hospital"/>
    <d v="2023-01-05T00:00:00"/>
    <d v="1899-12-30T09:30:00"/>
    <s v="Emergency"/>
    <x v="1"/>
    <s v="T146"/>
    <s v="MRI"/>
    <n v="894.39"/>
    <d v="2023-01-05T00:00:00"/>
    <s v="B146"/>
    <d v="2023-01-05T00:00:00"/>
    <n v="894.39"/>
    <s v="Insurance"/>
    <x v="0"/>
  </r>
  <r>
    <s v="A147"/>
    <s v="P014"/>
    <s v="Alex Taylor"/>
    <s v="M"/>
    <d v="1968-02-27T00:00:00"/>
    <n v="7292262512"/>
    <s v="789 Pine Rd"/>
    <d v="2023-12-12T00:00:00"/>
    <s v="alex.taylor@mail.com"/>
    <s v="D002"/>
    <s v="Jane Davis"/>
    <s v="Pediatrics"/>
    <n v="9004382050"/>
    <s v="Eastside Clinic"/>
    <d v="2023-11-13T00:00:00"/>
    <d v="1899-12-30T17:30:00"/>
    <s v="Emergency"/>
    <x v="3"/>
    <s v="T147"/>
    <s v="MRI"/>
    <n v="4716.3100000000004"/>
    <d v="2023-11-13T00:00:00"/>
    <s v="B147"/>
    <d v="2023-11-13T00:00:00"/>
    <n v="4716.3100000000004"/>
    <s v="Insurance"/>
    <x v="2"/>
  </r>
  <r>
    <s v="A148"/>
    <s v="P031"/>
    <s v="Robert Miller"/>
    <s v="M"/>
    <d v="1987-01-14T00:00:00"/>
    <n v="8280346676"/>
    <s v="321 Maple Dr"/>
    <d v="2022-06-28T00:00:00"/>
    <s v="robert.miller@mail.com"/>
    <s v="D002"/>
    <s v="Jane Davis"/>
    <s v="Pediatrics"/>
    <n v="9004382050"/>
    <s v="Eastside Clinic"/>
    <d v="2023-12-06T00:00:00"/>
    <d v="1899-12-30T08:30:00"/>
    <s v="Consultation"/>
    <x v="0"/>
    <s v="T148"/>
    <s v="Physiotherapy"/>
    <n v="2992.11"/>
    <d v="2023-12-06T00:00:00"/>
    <s v="B148"/>
    <d v="2023-12-06T00:00:00"/>
    <n v="2992.11"/>
    <s v="Cash"/>
    <x v="1"/>
  </r>
  <r>
    <s v="A149"/>
    <s v="P019"/>
    <s v="Sarah Miller"/>
    <s v="M"/>
    <d v="1975-05-24T00:00:00"/>
    <n v="8618058864"/>
    <s v="789 Pine Rd"/>
    <d v="2023-06-24T00:00:00"/>
    <s v="sarah.miller@mail.com"/>
    <s v="D002"/>
    <s v="Jane Davis"/>
    <s v="Pediatrics"/>
    <n v="9004382050"/>
    <s v="Eastside Clinic"/>
    <d v="2023-07-26T00:00:00"/>
    <d v="1899-12-30T12:30:00"/>
    <s v="Follow-up"/>
    <x v="3"/>
    <s v="T149"/>
    <s v="Physiotherapy"/>
    <n v="1874.86"/>
    <d v="2023-07-26T00:00:00"/>
    <s v="B149"/>
    <d v="2023-07-26T00:00:00"/>
    <n v="1874.86"/>
    <s v="Credit Card"/>
    <x v="2"/>
  </r>
  <r>
    <s v="A150"/>
    <s v="P047"/>
    <s v="Jane Moore"/>
    <s v="M"/>
    <d v="1995-12-13T00:00:00"/>
    <n v="8715732851"/>
    <s v="321 Maple Dr"/>
    <d v="2022-05-20T00:00:00"/>
    <s v="jane.moore@mail.com"/>
    <s v="D003"/>
    <s v="Jane Smith"/>
    <s v="Pediatrics"/>
    <n v="8737740598"/>
    <s v="Eastside Clinic"/>
    <d v="2023-08-16T00:00:00"/>
    <d v="1899-12-30T10:45:00"/>
    <s v="Therapy"/>
    <x v="3"/>
    <s v="T150"/>
    <s v="ECG"/>
    <n v="2286.42"/>
    <d v="2023-08-16T00:00:00"/>
    <s v="B150"/>
    <d v="2023-08-16T00:00:00"/>
    <n v="2286.42"/>
    <s v="Credit Card"/>
    <x v="1"/>
  </r>
  <r>
    <s v="A151"/>
    <s v="P016"/>
    <s v="Michael Taylor"/>
    <s v="M"/>
    <d v="2000-07-22T00:00:00"/>
    <n v="7223380592"/>
    <s v="789 Pine Rd"/>
    <d v="2021-07-23T00:00:00"/>
    <s v="michael.taylor@mail.com"/>
    <s v="D002"/>
    <s v="Jane Davis"/>
    <s v="Pediatrics"/>
    <n v="9004382050"/>
    <s v="Eastside Clinic"/>
    <d v="2023-01-28T00:00:00"/>
    <d v="1899-12-30T09:15:00"/>
    <s v="Therapy"/>
    <x v="0"/>
    <s v="T151"/>
    <s v="Chemotherapy"/>
    <n v="2512.41"/>
    <d v="2023-01-28T00:00:00"/>
    <s v="B151"/>
    <d v="2023-01-28T00:00:00"/>
    <n v="2512.41"/>
    <s v="Cash"/>
    <x v="0"/>
  </r>
  <r>
    <s v="A152"/>
    <s v="P005"/>
    <s v="David Wilson"/>
    <s v="M"/>
    <d v="1960-06-23T00:00:00"/>
    <n v="7734463155"/>
    <s v="123 Elm St"/>
    <d v="2021-09-29T00:00:00"/>
    <s v="david.wilson@mail.com"/>
    <s v="D004"/>
    <s v="David Jones"/>
    <s v="Pediatrics"/>
    <n v="6594221991"/>
    <s v="Central Hospital"/>
    <d v="2023-04-14T00:00:00"/>
    <d v="1899-12-30T08:30:00"/>
    <s v="Therapy"/>
    <x v="3"/>
    <s v="T152"/>
    <s v="ECG"/>
    <n v="3202.67"/>
    <d v="2023-04-14T00:00:00"/>
    <s v="B152"/>
    <d v="2023-04-14T00:00:00"/>
    <n v="3202.67"/>
    <s v="Cash"/>
    <x v="2"/>
  </r>
  <r>
    <s v="A153"/>
    <s v="P035"/>
    <s v="David Wilson"/>
    <s v="F"/>
    <d v="1993-04-13T00:00:00"/>
    <n v="7039619487"/>
    <s v="123 Elm St"/>
    <d v="2023-07-09T00:00:00"/>
    <s v="david.wilson@mail.com"/>
    <s v="D009"/>
    <s v="Sarah Smith"/>
    <s v="Pediatrics"/>
    <n v="7387087517"/>
    <s v="Central Hospital"/>
    <d v="2023-07-08T00:00:00"/>
    <d v="1899-12-30T12:45:00"/>
    <s v="Consultation"/>
    <x v="3"/>
    <s v="T153"/>
    <s v="Physiotherapy"/>
    <n v="2820.56"/>
    <d v="2023-07-08T00:00:00"/>
    <s v="B153"/>
    <d v="2023-07-08T00:00:00"/>
    <n v="2820.56"/>
    <s v="Cash"/>
    <x v="1"/>
  </r>
  <r>
    <s v="A154"/>
    <s v="P012"/>
    <s v="Laura Davis"/>
    <s v="F"/>
    <d v="1991-12-08T00:00:00"/>
    <n v="8135666049"/>
    <s v="321 Maple Dr"/>
    <d v="2023-04-27T00:00:00"/>
    <s v="laura.davis@mail.com"/>
    <s v="D006"/>
    <s v="Alex Davis"/>
    <s v="Pediatrics"/>
    <n v="6570137231"/>
    <s v="Central Hospital"/>
    <d v="2023-03-06T00:00:00"/>
    <d v="1899-12-30T17:30:00"/>
    <s v="Emergency"/>
    <x v="1"/>
    <s v="T154"/>
    <s v="X-Ray"/>
    <n v="4637.26"/>
    <d v="2023-03-06T00:00:00"/>
    <s v="B154"/>
    <d v="2023-03-06T00:00:00"/>
    <n v="4637.26"/>
    <s v="Cash"/>
    <x v="2"/>
  </r>
  <r>
    <s v="A155"/>
    <s v="P025"/>
    <s v="Robert Wilson"/>
    <s v="M"/>
    <d v="1966-08-14T00:00:00"/>
    <n v="7482069727"/>
    <s v="123 Elm St"/>
    <d v="2021-09-09T00:00:00"/>
    <s v="robert.wilson@mail.com"/>
    <s v="D001"/>
    <s v="David Taylor"/>
    <s v="Dermatology"/>
    <n v="8322010158"/>
    <s v="Westside Clinic"/>
    <d v="2023-01-03T00:00:00"/>
    <d v="1899-12-30T09:30:00"/>
    <s v="Consultation"/>
    <x v="2"/>
    <s v="T155"/>
    <s v="Physiotherapy"/>
    <n v="2736.34"/>
    <d v="2023-01-03T00:00:00"/>
    <s v="B155"/>
    <d v="2023-01-03T00:00:00"/>
    <n v="2736.34"/>
    <s v="Insurance"/>
    <x v="2"/>
  </r>
  <r>
    <s v="A156"/>
    <s v="P021"/>
    <s v="Michael Wilson"/>
    <s v="M"/>
    <d v="2002-03-01T00:00:00"/>
    <n v="7765390555"/>
    <s v="321 Maple Dr"/>
    <d v="2022-01-19T00:00:00"/>
    <s v="michael.wilson@mail.com"/>
    <s v="D008"/>
    <s v="Linda Brown"/>
    <s v="Dermatology"/>
    <n v="9069162601"/>
    <s v="Westside Clinic"/>
    <d v="2023-11-22T00:00:00"/>
    <d v="1899-12-30T14:30:00"/>
    <s v="Therapy"/>
    <x v="3"/>
    <s v="T156"/>
    <s v="Chemotherapy"/>
    <n v="4964.71"/>
    <d v="2023-11-22T00:00:00"/>
    <s v="B156"/>
    <d v="2023-11-22T00:00:00"/>
    <n v="4964.71"/>
    <s v="Credit Card"/>
    <x v="2"/>
  </r>
  <r>
    <s v="A157"/>
    <s v="P036"/>
    <s v="Michael Wilson"/>
    <s v="M"/>
    <d v="1997-12-26T00:00:00"/>
    <n v="8545613046"/>
    <s v="123 Elm St"/>
    <d v="2022-10-04T00:00:00"/>
    <s v="michael.wilson@mail.com"/>
    <s v="D007"/>
    <s v="Robert Davis"/>
    <s v="Oncology"/>
    <n v="8217493115"/>
    <s v="Westside Clinic"/>
    <d v="2023-05-12T00:00:00"/>
    <d v="1899-12-30T11:00:00"/>
    <s v="Follow-up"/>
    <x v="3"/>
    <s v="T157"/>
    <s v="Physiotherapy"/>
    <n v="4331.41"/>
    <d v="2023-05-12T00:00:00"/>
    <s v="B157"/>
    <d v="2023-05-12T00:00:00"/>
    <n v="4331.41"/>
    <s v="Insurance"/>
    <x v="2"/>
  </r>
  <r>
    <s v="A158"/>
    <s v="P023"/>
    <s v="Linda Johnson"/>
    <s v="M"/>
    <d v="1994-02-22T00:00:00"/>
    <n v="6141951830"/>
    <s v="789 Pine Rd"/>
    <d v="2021-12-27T00:00:00"/>
    <s v="linda.johnson@mail.com"/>
    <s v="D010"/>
    <s v="Linda Wilson"/>
    <s v="Oncology"/>
    <n v="6176383634"/>
    <s v="Eastside Clinic"/>
    <d v="2023-07-12T00:00:00"/>
    <d v="1899-12-30T12:15:00"/>
    <s v="Checkup"/>
    <x v="3"/>
    <s v="T158"/>
    <s v="Chemotherapy"/>
    <n v="1438.3"/>
    <d v="2023-07-12T00:00:00"/>
    <s v="B158"/>
    <d v="2023-07-12T00:00:00"/>
    <n v="1438.3"/>
    <s v="Credit Card"/>
    <x v="1"/>
  </r>
  <r>
    <s v="A159"/>
    <s v="P016"/>
    <s v="Michael Taylor"/>
    <s v="M"/>
    <d v="2000-07-22T00:00:00"/>
    <n v="7223380592"/>
    <s v="789 Pine Rd"/>
    <d v="2021-07-23T00:00:00"/>
    <s v="michael.taylor@mail.com"/>
    <s v="D003"/>
    <s v="Jane Smith"/>
    <s v="Pediatrics"/>
    <n v="8737740598"/>
    <s v="Eastside Clinic"/>
    <d v="2023-04-08T00:00:00"/>
    <d v="1899-12-30T16:15:00"/>
    <s v="Emergency"/>
    <x v="1"/>
    <s v="T159"/>
    <s v="Chemotherapy"/>
    <n v="4687.68"/>
    <d v="2023-04-08T00:00:00"/>
    <s v="B159"/>
    <d v="2023-04-08T00:00:00"/>
    <n v="4687.68"/>
    <s v="Credit Card"/>
    <x v="0"/>
  </r>
  <r>
    <s v="A160"/>
    <s v="P039"/>
    <s v="Jane Wilson"/>
    <s v="F"/>
    <d v="1950-12-12T00:00:00"/>
    <n v="9271131338"/>
    <s v="789 Pine Rd"/>
    <d v="2021-03-09T00:00:00"/>
    <s v="jane.wilson@mail.com"/>
    <s v="D001"/>
    <s v="David Taylor"/>
    <s v="Dermatology"/>
    <n v="8322010158"/>
    <s v="Westside Clinic"/>
    <d v="2023-12-17T00:00:00"/>
    <d v="1899-12-30T12:45:00"/>
    <s v="Emergency"/>
    <x v="2"/>
    <s v="T160"/>
    <s v="Chemotherapy"/>
    <n v="1023.65"/>
    <d v="2023-12-17T00:00:00"/>
    <s v="B160"/>
    <d v="2023-12-17T00:00:00"/>
    <n v="1023.65"/>
    <s v="Cash"/>
    <x v="1"/>
  </r>
  <r>
    <s v="A161"/>
    <s v="P045"/>
    <s v="Linda Miller"/>
    <s v="F"/>
    <d v="1966-04-25T00:00:00"/>
    <n v="7579616535"/>
    <s v="321 Maple Dr"/>
    <d v="2021-01-23T00:00:00"/>
    <s v="linda.miller@mail.com"/>
    <s v="D005"/>
    <s v="Sarah Taylor"/>
    <s v="Dermatology"/>
    <n v="9118538547"/>
    <s v="Central Hospital"/>
    <d v="2023-06-17T00:00:00"/>
    <d v="1899-12-30T10:45:00"/>
    <s v="Consultation"/>
    <x v="0"/>
    <s v="T161"/>
    <s v="Chemotherapy"/>
    <n v="4178.5200000000004"/>
    <d v="2023-06-17T00:00:00"/>
    <s v="B161"/>
    <d v="2023-06-17T00:00:00"/>
    <n v="4178.5200000000004"/>
    <s v="Insurance"/>
    <x v="1"/>
  </r>
  <r>
    <s v="A162"/>
    <s v="P042"/>
    <s v="Jane Smith"/>
    <s v="F"/>
    <d v="1954-08-22T00:00:00"/>
    <n v="7040069008"/>
    <s v="789 Pine Rd"/>
    <d v="2022-03-15T00:00:00"/>
    <s v="jane.smith@mail.com"/>
    <s v="D004"/>
    <s v="David Jones"/>
    <s v="Pediatrics"/>
    <n v="6594221991"/>
    <s v="Central Hospital"/>
    <d v="2023-01-01T00:00:00"/>
    <d v="1899-12-30T17:15:00"/>
    <s v="Emergency"/>
    <x v="1"/>
    <s v="T162"/>
    <s v="Chemotherapy"/>
    <n v="2212.8000000000002"/>
    <d v="2023-01-01T00:00:00"/>
    <s v="B162"/>
    <d v="2023-01-01T00:00:00"/>
    <n v="2212.8000000000002"/>
    <s v="Cash"/>
    <x v="1"/>
  </r>
  <r>
    <s v="A163"/>
    <s v="P039"/>
    <s v="Jane Wilson"/>
    <s v="F"/>
    <d v="1950-12-12T00:00:00"/>
    <n v="9271131338"/>
    <s v="789 Pine Rd"/>
    <d v="2021-03-09T00:00:00"/>
    <s v="jane.wilson@mail.com"/>
    <s v="D010"/>
    <s v="Linda Wilson"/>
    <s v="Oncology"/>
    <n v="6176383634"/>
    <s v="Eastside Clinic"/>
    <d v="2023-06-27T00:00:00"/>
    <d v="1899-12-30T15:00:00"/>
    <s v="Therapy"/>
    <x v="1"/>
    <s v="T163"/>
    <s v="X-Ray"/>
    <n v="4450.88"/>
    <d v="2023-06-27T00:00:00"/>
    <s v="B163"/>
    <d v="2023-06-27T00:00:00"/>
    <n v="4450.88"/>
    <s v="Insurance"/>
    <x v="0"/>
  </r>
  <r>
    <s v="A164"/>
    <s v="P014"/>
    <s v="Alex Taylor"/>
    <s v="M"/>
    <d v="1968-02-27T00:00:00"/>
    <n v="7292262512"/>
    <s v="789 Pine Rd"/>
    <d v="2023-12-12T00:00:00"/>
    <s v="alex.taylor@mail.com"/>
    <s v="D008"/>
    <s v="Linda Brown"/>
    <s v="Dermatology"/>
    <n v="9069162601"/>
    <s v="Westside Clinic"/>
    <d v="2023-07-28T00:00:00"/>
    <d v="1899-12-30T17:15:00"/>
    <s v="Therapy"/>
    <x v="2"/>
    <s v="T164"/>
    <s v="ECG"/>
    <n v="4406.26"/>
    <d v="2023-07-28T00:00:00"/>
    <s v="B164"/>
    <d v="2023-07-28T00:00:00"/>
    <n v="4406.26"/>
    <s v="Credit Card"/>
    <x v="2"/>
  </r>
  <r>
    <s v="A165"/>
    <s v="P031"/>
    <s v="Robert Miller"/>
    <s v="M"/>
    <d v="1987-01-14T00:00:00"/>
    <n v="8280346676"/>
    <s v="321 Maple Dr"/>
    <d v="2022-06-28T00:00:00"/>
    <s v="robert.miller@mail.com"/>
    <s v="D001"/>
    <s v="David Taylor"/>
    <s v="Dermatology"/>
    <n v="8322010158"/>
    <s v="Westside Clinic"/>
    <d v="2023-04-04T00:00:00"/>
    <d v="1899-12-30T15:30:00"/>
    <s v="Consultation"/>
    <x v="2"/>
    <s v="T165"/>
    <s v="MRI"/>
    <n v="4126.66"/>
    <d v="2023-04-04T00:00:00"/>
    <s v="B165"/>
    <d v="2023-04-04T00:00:00"/>
    <n v="4126.66"/>
    <s v="Cash"/>
    <x v="2"/>
  </r>
  <r>
    <s v="A166"/>
    <s v="P005"/>
    <s v="David Wilson"/>
    <s v="M"/>
    <d v="1960-06-23T00:00:00"/>
    <n v="7734463155"/>
    <s v="123 Elm St"/>
    <d v="2021-09-29T00:00:00"/>
    <s v="david.wilson@mail.com"/>
    <s v="D010"/>
    <s v="Linda Wilson"/>
    <s v="Oncology"/>
    <n v="6176383634"/>
    <s v="Eastside Clinic"/>
    <d v="2023-01-12T00:00:00"/>
    <d v="1899-12-30T14:45:00"/>
    <s v="Therapy"/>
    <x v="1"/>
    <s v="T166"/>
    <s v="ECG"/>
    <n v="4055.14"/>
    <d v="2023-01-12T00:00:00"/>
    <s v="B166"/>
    <d v="2023-01-12T00:00:00"/>
    <n v="4055.14"/>
    <s v="Cash"/>
    <x v="2"/>
  </r>
  <r>
    <s v="A167"/>
    <s v="P035"/>
    <s v="David Wilson"/>
    <s v="F"/>
    <d v="1993-04-13T00:00:00"/>
    <n v="7039619487"/>
    <s v="123 Elm St"/>
    <d v="2023-07-09T00:00:00"/>
    <s v="david.wilson@mail.com"/>
    <s v="D001"/>
    <s v="David Taylor"/>
    <s v="Dermatology"/>
    <n v="8322010158"/>
    <s v="Westside Clinic"/>
    <d v="2023-11-15T00:00:00"/>
    <d v="1899-12-30T08:15:00"/>
    <s v="Follow-up"/>
    <x v="0"/>
    <s v="T167"/>
    <s v="Chemotherapy"/>
    <n v="1871.06"/>
    <d v="2023-11-15T00:00:00"/>
    <s v="B167"/>
    <d v="2023-11-15T00:00:00"/>
    <n v="1871.06"/>
    <s v="Credit Card"/>
    <x v="0"/>
  </r>
  <r>
    <s v="A168"/>
    <s v="P023"/>
    <s v="Linda Johnson"/>
    <s v="M"/>
    <d v="1994-02-22T00:00:00"/>
    <n v="6141951830"/>
    <s v="789 Pine Rd"/>
    <d v="2021-12-27T00:00:00"/>
    <s v="linda.johnson@mail.com"/>
    <s v="D004"/>
    <s v="David Jones"/>
    <s v="Pediatrics"/>
    <n v="6594221991"/>
    <s v="Central Hospital"/>
    <d v="2023-09-29T00:00:00"/>
    <d v="1899-12-30T10:00:00"/>
    <s v="Consultation"/>
    <x v="1"/>
    <s v="T168"/>
    <s v="X-Ray"/>
    <n v="864.14"/>
    <d v="2023-09-29T00:00:00"/>
    <s v="B168"/>
    <d v="2023-09-29T00:00:00"/>
    <n v="864.14"/>
    <s v="Credit Card"/>
    <x v="2"/>
  </r>
  <r>
    <s v="A169"/>
    <s v="P029"/>
    <s v="David Smith"/>
    <s v="M"/>
    <d v="2005-05-15T00:00:00"/>
    <n v="8923607677"/>
    <s v="789 Pine Rd"/>
    <d v="2023-04-19T00:00:00"/>
    <s v="david.smith@mail.com"/>
    <s v="D008"/>
    <s v="Linda Brown"/>
    <s v="Dermatology"/>
    <n v="9069162601"/>
    <s v="Westside Clinic"/>
    <d v="2023-07-24T00:00:00"/>
    <d v="1899-12-30T16:45:00"/>
    <s v="Follow-up"/>
    <x v="2"/>
    <s v="T169"/>
    <s v="Physiotherapy"/>
    <n v="2313.41"/>
    <d v="2023-07-24T00:00:00"/>
    <s v="B169"/>
    <d v="2023-07-24T00:00:00"/>
    <n v="2313.41"/>
    <s v="Credit Card"/>
    <x v="0"/>
  </r>
  <r>
    <s v="A170"/>
    <s v="P043"/>
    <s v="Linda Brown"/>
    <s v="M"/>
    <d v="1980-03-25T00:00:00"/>
    <n v="9127665406"/>
    <s v="789 Pine Rd"/>
    <d v="2022-07-18T00:00:00"/>
    <s v="linda.brown@mail.com"/>
    <s v="D005"/>
    <s v="Sarah Taylor"/>
    <s v="Dermatology"/>
    <n v="9118538547"/>
    <s v="Central Hospital"/>
    <d v="2023-03-03T00:00:00"/>
    <d v="1899-12-30T09:00:00"/>
    <s v="Checkup"/>
    <x v="0"/>
    <s v="T170"/>
    <s v="X-Ray"/>
    <n v="1280.8599999999999"/>
    <d v="2023-03-03T00:00:00"/>
    <s v="B170"/>
    <d v="2023-03-03T00:00:00"/>
    <n v="1280.8599999999999"/>
    <s v="Cash"/>
    <x v="2"/>
  </r>
  <r>
    <s v="A171"/>
    <s v="P011"/>
    <s v="Emily Jones"/>
    <s v="F"/>
    <d v="1966-12-04T00:00:00"/>
    <n v="8990604070"/>
    <s v="789 Pine Rd"/>
    <d v="2022-09-27T00:00:00"/>
    <s v="emily.jones@mail.com"/>
    <s v="D002"/>
    <s v="Jane Davis"/>
    <s v="Pediatrics"/>
    <n v="9004382050"/>
    <s v="Eastside Clinic"/>
    <d v="2023-04-18T00:00:00"/>
    <d v="1899-12-30T16:30:00"/>
    <s v="Follow-up"/>
    <x v="2"/>
    <s v="T171"/>
    <s v="Chemotherapy"/>
    <n v="3627.28"/>
    <d v="2023-04-18T00:00:00"/>
    <s v="B171"/>
    <d v="2023-04-18T00:00:00"/>
    <n v="3627.28"/>
    <s v="Insurance"/>
    <x v="2"/>
  </r>
  <r>
    <s v="A172"/>
    <s v="P018"/>
    <s v="Laura Wilson"/>
    <s v="M"/>
    <d v="1979-09-24T00:00:00"/>
    <n v="7145815738"/>
    <s v="789 Pine Rd"/>
    <d v="2022-09-23T00:00:00"/>
    <s v="laura.wilson@mail.com"/>
    <s v="D006"/>
    <s v="Alex Davis"/>
    <s v="Pediatrics"/>
    <n v="6570137231"/>
    <s v="Central Hospital"/>
    <d v="2023-03-09T00:00:00"/>
    <d v="1899-12-30T16:15:00"/>
    <s v="Checkup"/>
    <x v="0"/>
    <s v="T172"/>
    <s v="X-Ray"/>
    <n v="2057.4499999999998"/>
    <d v="2023-03-09T00:00:00"/>
    <s v="B172"/>
    <d v="2023-03-09T00:00:00"/>
    <n v="2057.4499999999998"/>
    <s v="Cash"/>
    <x v="1"/>
  </r>
  <r>
    <s v="A173"/>
    <s v="P047"/>
    <s v="Jane Moore"/>
    <s v="M"/>
    <d v="1995-12-13T00:00:00"/>
    <n v="8715732851"/>
    <s v="321 Maple Dr"/>
    <d v="2022-05-20T00:00:00"/>
    <s v="jane.moore@mail.com"/>
    <s v="D005"/>
    <s v="Sarah Taylor"/>
    <s v="Dermatology"/>
    <n v="9118538547"/>
    <s v="Central Hospital"/>
    <d v="2023-06-04T00:00:00"/>
    <d v="1899-12-30T13:30:00"/>
    <s v="Checkup"/>
    <x v="3"/>
    <s v="T173"/>
    <s v="X-Ray"/>
    <n v="4890.25"/>
    <d v="2023-06-04T00:00:00"/>
    <s v="B173"/>
    <d v="2023-06-04T00:00:00"/>
    <n v="4890.25"/>
    <s v="Insurance"/>
    <x v="0"/>
  </r>
  <r>
    <s v="A174"/>
    <s v="P012"/>
    <s v="Laura Davis"/>
    <s v="F"/>
    <d v="1991-12-08T00:00:00"/>
    <n v="8135666049"/>
    <s v="321 Maple Dr"/>
    <d v="2023-04-27T00:00:00"/>
    <s v="laura.davis@mail.com"/>
    <s v="D002"/>
    <s v="Jane Davis"/>
    <s v="Pediatrics"/>
    <n v="9004382050"/>
    <s v="Eastside Clinic"/>
    <d v="2023-10-31T00:00:00"/>
    <d v="1899-12-30T11:15:00"/>
    <s v="Follow-up"/>
    <x v="2"/>
    <s v="T174"/>
    <s v="Chemotherapy"/>
    <n v="3384.37"/>
    <d v="2023-10-31T00:00:00"/>
    <s v="B174"/>
    <d v="2023-10-31T00:00:00"/>
    <n v="3384.37"/>
    <s v="Cash"/>
    <x v="1"/>
  </r>
  <r>
    <s v="A175"/>
    <s v="P009"/>
    <s v="Laura Davis"/>
    <s v="M"/>
    <d v="1971-12-11T00:00:00"/>
    <n v="7060324619"/>
    <s v="321 Maple Dr"/>
    <d v="2022-09-18T00:00:00"/>
    <s v="laura.davis@mail.com"/>
    <s v="D003"/>
    <s v="Jane Smith"/>
    <s v="Pediatrics"/>
    <n v="8737740598"/>
    <s v="Eastside Clinic"/>
    <d v="2023-10-22T00:00:00"/>
    <d v="1899-12-30T17:00:00"/>
    <s v="Consultation"/>
    <x v="2"/>
    <s v="T175"/>
    <s v="X-Ray"/>
    <n v="4201.16"/>
    <d v="2023-10-22T00:00:00"/>
    <s v="B175"/>
    <d v="2023-10-22T00:00:00"/>
    <n v="4201.16"/>
    <s v="Cash"/>
    <x v="1"/>
  </r>
  <r>
    <s v="A176"/>
    <s v="P010"/>
    <s v="Michael Taylor"/>
    <s v="M"/>
    <d v="2001-10-13T00:00:00"/>
    <n v="7081396733"/>
    <s v="123 Elm St"/>
    <d v="2022-08-24T00:00:00"/>
    <s v="michael.taylor@mail.com"/>
    <s v="D009"/>
    <s v="Sarah Smith"/>
    <s v="Pediatrics"/>
    <n v="7387087517"/>
    <s v="Central Hospital"/>
    <d v="2023-04-26T00:00:00"/>
    <d v="1899-12-30T09:30:00"/>
    <s v="Therapy"/>
    <x v="1"/>
    <s v="T176"/>
    <s v="MRI"/>
    <n v="1096.3599999999999"/>
    <d v="2023-04-26T00:00:00"/>
    <s v="B176"/>
    <d v="2023-04-26T00:00:00"/>
    <n v="1096.3599999999999"/>
    <s v="Credit Card"/>
    <x v="1"/>
  </r>
  <r>
    <s v="A177"/>
    <s v="P044"/>
    <s v="Robert Taylor"/>
    <s v="F"/>
    <d v="1976-03-11T00:00:00"/>
    <n v="9449458981"/>
    <s v="321 Maple Dr"/>
    <d v="2023-01-26T00:00:00"/>
    <s v="robert.taylor@mail.com"/>
    <s v="D007"/>
    <s v="Robert Davis"/>
    <s v="Oncology"/>
    <n v="8217493115"/>
    <s v="Westside Clinic"/>
    <d v="2023-08-16T00:00:00"/>
    <d v="1899-12-30T12:30:00"/>
    <s v="Therapy"/>
    <x v="2"/>
    <s v="T177"/>
    <s v="MRI"/>
    <n v="4379.07"/>
    <d v="2023-08-16T00:00:00"/>
    <s v="B177"/>
    <d v="2023-08-16T00:00:00"/>
    <n v="4379.07"/>
    <s v="Insurance"/>
    <x v="0"/>
  </r>
  <r>
    <s v="A178"/>
    <s v="P017"/>
    <s v="Jane Jones"/>
    <s v="M"/>
    <d v="1991-05-01T00:00:00"/>
    <n v="6158428240"/>
    <s v="456 Oak Ave"/>
    <d v="2022-09-26T00:00:00"/>
    <s v="jane.jones@mail.com"/>
    <s v="D007"/>
    <s v="Robert Davis"/>
    <s v="Oncology"/>
    <n v="8217493115"/>
    <s v="Westside Clinic"/>
    <d v="2023-01-17T00:00:00"/>
    <d v="1899-12-30T13:15:00"/>
    <s v="Checkup"/>
    <x v="2"/>
    <s v="T178"/>
    <s v="X-Ray"/>
    <n v="4652.41"/>
    <d v="2023-01-17T00:00:00"/>
    <s v="B178"/>
    <d v="2023-01-17T00:00:00"/>
    <n v="4652.41"/>
    <s v="Cash"/>
    <x v="0"/>
  </r>
  <r>
    <s v="A179"/>
    <s v="P038"/>
    <s v="David Smith"/>
    <s v="M"/>
    <d v="1991-06-25T00:00:00"/>
    <n v="6347262390"/>
    <s v="789 Pine Rd"/>
    <d v="2021-04-19T00:00:00"/>
    <s v="david.smith@mail.com"/>
    <s v="D006"/>
    <s v="Alex Davis"/>
    <s v="Pediatrics"/>
    <n v="6570137231"/>
    <s v="Central Hospital"/>
    <d v="2023-03-08T00:00:00"/>
    <d v="1899-12-30T12:15:00"/>
    <s v="Checkup"/>
    <x v="3"/>
    <s v="T179"/>
    <s v="Physiotherapy"/>
    <n v="2691.78"/>
    <d v="2023-03-08T00:00:00"/>
    <s v="B179"/>
    <d v="2023-03-08T00:00:00"/>
    <n v="2691.78"/>
    <s v="Cash"/>
    <x v="2"/>
  </r>
  <r>
    <s v="A180"/>
    <s v="P007"/>
    <s v="Alex Johnson"/>
    <s v="F"/>
    <d v="1989-06-08T00:00:00"/>
    <n v="6278710077"/>
    <s v="789 Pine Rd"/>
    <d v="2021-12-25T00:00:00"/>
    <s v="alex.johnson@mail.com"/>
    <s v="D008"/>
    <s v="Linda Brown"/>
    <s v="Dermatology"/>
    <n v="9069162601"/>
    <s v="Westside Clinic"/>
    <d v="2023-01-07T00:00:00"/>
    <d v="1899-12-30T11:00:00"/>
    <s v="Consultation"/>
    <x v="2"/>
    <s v="T180"/>
    <s v="Chemotherapy"/>
    <n v="3228.14"/>
    <d v="2023-01-07T00:00:00"/>
    <s v="B180"/>
    <d v="2023-01-07T00:00:00"/>
    <n v="3228.14"/>
    <s v="Credit Card"/>
    <x v="1"/>
  </r>
  <r>
    <s v="A181"/>
    <s v="P046"/>
    <s v="Michael Taylor"/>
    <s v="F"/>
    <d v="1986-09-01T00:00:00"/>
    <n v="8019925828"/>
    <s v="456 Oak Ave"/>
    <d v="2021-07-31T00:00:00"/>
    <s v="michael.taylor@mail.com"/>
    <s v="D004"/>
    <s v="David Jones"/>
    <s v="Pediatrics"/>
    <n v="6594221991"/>
    <s v="Central Hospital"/>
    <d v="2023-09-03T00:00:00"/>
    <d v="1899-12-30T13:15:00"/>
    <s v="Emergency"/>
    <x v="3"/>
    <s v="T181"/>
    <s v="MRI"/>
    <n v="3941.64"/>
    <d v="2023-09-03T00:00:00"/>
    <s v="B181"/>
    <d v="2023-09-03T00:00:00"/>
    <n v="3941.64"/>
    <s v="Credit Card"/>
    <x v="2"/>
  </r>
  <r>
    <s v="A182"/>
    <s v="P013"/>
    <s v="Laura Johnson"/>
    <s v="F"/>
    <d v="1990-03-28T00:00:00"/>
    <n v="9059178882"/>
    <s v="321 Maple Dr"/>
    <d v="2021-12-23T00:00:00"/>
    <s v="laura.johnson@mail.com"/>
    <s v="D008"/>
    <s v="Linda Brown"/>
    <s v="Dermatology"/>
    <n v="9069162601"/>
    <s v="Westside Clinic"/>
    <d v="2023-04-12T00:00:00"/>
    <d v="1899-12-30T08:00:00"/>
    <s v="Follow-up"/>
    <x v="3"/>
    <s v="T182"/>
    <s v="Physiotherapy"/>
    <n v="1286.77"/>
    <d v="2023-04-12T00:00:00"/>
    <s v="B182"/>
    <d v="2023-04-12T00:00:00"/>
    <n v="1286.77"/>
    <s v="Insurance"/>
    <x v="1"/>
  </r>
  <r>
    <s v="A183"/>
    <s v="P040"/>
    <s v="Emily Williams"/>
    <s v="M"/>
    <d v="1972-05-30T00:00:00"/>
    <n v="7587653815"/>
    <s v="456 Oak Ave"/>
    <d v="2021-10-16T00:00:00"/>
    <s v="emily.williams@mail.com"/>
    <s v="D004"/>
    <s v="David Jones"/>
    <s v="Pediatrics"/>
    <n v="6594221991"/>
    <s v="Central Hospital"/>
    <d v="2023-02-03T00:00:00"/>
    <d v="1899-12-30T16:15:00"/>
    <s v="Checkup"/>
    <x v="3"/>
    <s v="T183"/>
    <s v="X-Ray"/>
    <n v="2761.55"/>
    <d v="2023-02-03T00:00:00"/>
    <s v="B183"/>
    <d v="2023-02-03T00:00:00"/>
    <n v="2761.55"/>
    <s v="Cash"/>
    <x v="0"/>
  </r>
  <r>
    <s v="A184"/>
    <s v="P042"/>
    <s v="Jane Smith"/>
    <s v="F"/>
    <d v="1954-08-22T00:00:00"/>
    <n v="7040069008"/>
    <s v="789 Pine Rd"/>
    <d v="2022-03-15T00:00:00"/>
    <s v="jane.smith@mail.com"/>
    <s v="D008"/>
    <s v="Linda Brown"/>
    <s v="Dermatology"/>
    <n v="9069162601"/>
    <s v="Westside Clinic"/>
    <d v="2023-02-26T00:00:00"/>
    <d v="1899-12-30T17:45:00"/>
    <s v="Therapy"/>
    <x v="3"/>
    <s v="T184"/>
    <s v="Physiotherapy"/>
    <n v="2293.98"/>
    <d v="2023-02-26T00:00:00"/>
    <s v="B184"/>
    <d v="2023-02-26T00:00:00"/>
    <n v="2293.98"/>
    <s v="Insurance"/>
    <x v="0"/>
  </r>
  <r>
    <s v="A185"/>
    <s v="P009"/>
    <s v="Laura Davis"/>
    <s v="M"/>
    <d v="1971-12-11T00:00:00"/>
    <n v="7060324619"/>
    <s v="321 Maple Dr"/>
    <d v="2022-09-18T00:00:00"/>
    <s v="laura.davis@mail.com"/>
    <s v="D009"/>
    <s v="Sarah Smith"/>
    <s v="Pediatrics"/>
    <n v="7387087517"/>
    <s v="Central Hospital"/>
    <d v="2023-03-21T00:00:00"/>
    <d v="1899-12-30T14:00:00"/>
    <s v="Consultation"/>
    <x v="0"/>
    <s v="T185"/>
    <s v="ECG"/>
    <n v="1158.68"/>
    <d v="2023-03-21T00:00:00"/>
    <s v="B185"/>
    <d v="2023-03-21T00:00:00"/>
    <n v="1158.68"/>
    <s v="Cash"/>
    <x v="0"/>
  </r>
  <r>
    <s v="A186"/>
    <s v="P050"/>
    <s v="Laura Wilson"/>
    <s v="M"/>
    <d v="1993-12-27T00:00:00"/>
    <n v="8301134730"/>
    <s v="321 Maple Dr"/>
    <d v="2023-04-28T00:00:00"/>
    <s v="laura.wilson@mail.com"/>
    <s v="D003"/>
    <s v="Jane Smith"/>
    <s v="Pediatrics"/>
    <n v="8737740598"/>
    <s v="Eastside Clinic"/>
    <d v="2023-03-27T00:00:00"/>
    <d v="1899-12-30T17:15:00"/>
    <s v="Follow-up"/>
    <x v="1"/>
    <s v="T186"/>
    <s v="MRI"/>
    <n v="2153.9"/>
    <d v="2023-03-27T00:00:00"/>
    <s v="B186"/>
    <d v="2023-03-27T00:00:00"/>
    <n v="2153.9"/>
    <s v="Insurance"/>
    <x v="1"/>
  </r>
  <r>
    <s v="A187"/>
    <s v="P027"/>
    <s v="Linda Moore"/>
    <s v="F"/>
    <d v="1998-06-29T00:00:00"/>
    <n v="8724518272"/>
    <s v="321 Maple Dr"/>
    <d v="2021-08-15T00:00:00"/>
    <s v="linda.moore@mail.com"/>
    <s v="D003"/>
    <s v="Jane Smith"/>
    <s v="Pediatrics"/>
    <n v="8737740598"/>
    <s v="Eastside Clinic"/>
    <d v="2023-02-13T00:00:00"/>
    <d v="1899-12-30T12:30:00"/>
    <s v="Consultation"/>
    <x v="0"/>
    <s v="T187"/>
    <s v="X-Ray"/>
    <n v="806.78"/>
    <d v="2023-02-13T00:00:00"/>
    <s v="B187"/>
    <d v="2023-02-13T00:00:00"/>
    <n v="806.78"/>
    <s v="Credit Card"/>
    <x v="0"/>
  </r>
  <r>
    <s v="A188"/>
    <s v="P002"/>
    <s v="Emily Smith"/>
    <s v="F"/>
    <d v="1984-10-12T00:00:00"/>
    <n v="8228188767"/>
    <s v="321 Maple Dr"/>
    <d v="2022-01-15T00:00:00"/>
    <s v="emily.smith@mail.com"/>
    <s v="D002"/>
    <s v="Jane Davis"/>
    <s v="Pediatrics"/>
    <n v="9004382050"/>
    <s v="Eastside Clinic"/>
    <d v="2023-04-12T00:00:00"/>
    <d v="1899-12-30T16:30:00"/>
    <s v="Follow-up"/>
    <x v="2"/>
    <s v="T188"/>
    <s v="Chemotherapy"/>
    <n v="616.15"/>
    <d v="2023-04-12T00:00:00"/>
    <s v="B188"/>
    <d v="2023-04-12T00:00:00"/>
    <n v="616.15"/>
    <s v="Cash"/>
    <x v="1"/>
  </r>
  <r>
    <s v="A189"/>
    <s v="P005"/>
    <s v="David Wilson"/>
    <s v="M"/>
    <d v="1960-06-23T00:00:00"/>
    <n v="7734463155"/>
    <s v="123 Elm St"/>
    <d v="2021-09-29T00:00:00"/>
    <s v="david.wilson@mail.com"/>
    <s v="D010"/>
    <s v="Linda Wilson"/>
    <s v="Oncology"/>
    <n v="6176383634"/>
    <s v="Eastside Clinic"/>
    <d v="2023-10-05T00:00:00"/>
    <d v="1899-12-30T13:30:00"/>
    <s v="Follow-up"/>
    <x v="0"/>
    <s v="T189"/>
    <s v="X-Ray"/>
    <n v="1108.25"/>
    <d v="2023-10-05T00:00:00"/>
    <s v="B189"/>
    <d v="2023-10-05T00:00:00"/>
    <n v="1108.25"/>
    <s v="Insurance"/>
    <x v="2"/>
  </r>
  <r>
    <s v="A190"/>
    <s v="P029"/>
    <s v="David Smith"/>
    <s v="M"/>
    <d v="2005-05-15T00:00:00"/>
    <n v="8923607677"/>
    <s v="789 Pine Rd"/>
    <d v="2023-04-19T00:00:00"/>
    <s v="david.smith@mail.com"/>
    <s v="D003"/>
    <s v="Jane Smith"/>
    <s v="Pediatrics"/>
    <n v="8737740598"/>
    <s v="Eastside Clinic"/>
    <d v="2023-11-16T00:00:00"/>
    <d v="1899-12-30T15:15:00"/>
    <s v="Checkup"/>
    <x v="0"/>
    <s v="T190"/>
    <s v="Chemotherapy"/>
    <n v="4834.0200000000004"/>
    <d v="2023-11-16T00:00:00"/>
    <s v="B190"/>
    <d v="2023-11-16T00:00:00"/>
    <n v="4834.0200000000004"/>
    <s v="Credit Card"/>
    <x v="1"/>
  </r>
  <r>
    <s v="A191"/>
    <s v="P037"/>
    <s v="Robert Williams"/>
    <s v="M"/>
    <d v="1999-02-05T00:00:00"/>
    <n v="8886800195"/>
    <s v="456 Oak Ave"/>
    <d v="2021-09-30T00:00:00"/>
    <s v="robert.williams@mail.com"/>
    <s v="D003"/>
    <s v="Jane Smith"/>
    <s v="Pediatrics"/>
    <n v="8737740598"/>
    <s v="Eastside Clinic"/>
    <d v="2023-04-12T00:00:00"/>
    <d v="1899-12-30T16:00:00"/>
    <s v="Consultation"/>
    <x v="2"/>
    <s v="T191"/>
    <s v="X-Ray"/>
    <n v="2972.88"/>
    <d v="2023-04-12T00:00:00"/>
    <s v="B191"/>
    <d v="2023-04-12T00:00:00"/>
    <n v="2972.88"/>
    <s v="Credit Card"/>
    <x v="2"/>
  </r>
  <r>
    <s v="A192"/>
    <s v="P038"/>
    <s v="David Smith"/>
    <s v="M"/>
    <d v="1991-06-25T00:00:00"/>
    <n v="6347262390"/>
    <s v="789 Pine Rd"/>
    <d v="2021-04-19T00:00:00"/>
    <s v="david.smith@mail.com"/>
    <s v="D005"/>
    <s v="Sarah Taylor"/>
    <s v="Dermatology"/>
    <n v="9118538547"/>
    <s v="Central Hospital"/>
    <d v="2023-08-31T00:00:00"/>
    <d v="1899-12-30T14:15:00"/>
    <s v="Consultation"/>
    <x v="2"/>
    <s v="T192"/>
    <s v="Physiotherapy"/>
    <n v="4846.2"/>
    <d v="2023-08-31T00:00:00"/>
    <s v="B192"/>
    <d v="2023-08-31T00:00:00"/>
    <n v="4846.2"/>
    <s v="Insurance"/>
    <x v="1"/>
  </r>
  <r>
    <s v="A193"/>
    <s v="P019"/>
    <s v="Sarah Miller"/>
    <s v="M"/>
    <d v="1975-05-24T00:00:00"/>
    <n v="8618058864"/>
    <s v="789 Pine Rd"/>
    <d v="2023-06-24T00:00:00"/>
    <s v="sarah.miller@mail.com"/>
    <s v="D005"/>
    <s v="Sarah Taylor"/>
    <s v="Dermatology"/>
    <n v="9118538547"/>
    <s v="Central Hospital"/>
    <d v="2023-09-15T00:00:00"/>
    <d v="1899-12-30T08:15:00"/>
    <s v="Therapy"/>
    <x v="2"/>
    <s v="T193"/>
    <s v="Physiotherapy"/>
    <n v="2446.2399999999998"/>
    <d v="2023-09-15T00:00:00"/>
    <s v="B193"/>
    <d v="2023-09-15T00:00:00"/>
    <n v="2446.2399999999998"/>
    <s v="Cash"/>
    <x v="2"/>
  </r>
  <r>
    <s v="A194"/>
    <s v="P008"/>
    <s v="David Davis"/>
    <s v="F"/>
    <d v="1976-07-05T00:00:00"/>
    <n v="7090558393"/>
    <s v="456 Oak Ave"/>
    <d v="2021-05-25T00:00:00"/>
    <s v="david.davis@mail.com"/>
    <s v="D002"/>
    <s v="Jane Davis"/>
    <s v="Pediatrics"/>
    <n v="9004382050"/>
    <s v="Eastside Clinic"/>
    <d v="2023-04-06T00:00:00"/>
    <d v="1899-12-30T12:45:00"/>
    <s v="Therapy"/>
    <x v="0"/>
    <s v="T194"/>
    <s v="Physiotherapy"/>
    <n v="1903.17"/>
    <d v="2023-04-06T00:00:00"/>
    <s v="B194"/>
    <d v="2023-04-06T00:00:00"/>
    <n v="1903.17"/>
    <s v="Cash"/>
    <x v="0"/>
  </r>
  <r>
    <s v="A195"/>
    <s v="P048"/>
    <s v="Emily Miller"/>
    <s v="M"/>
    <d v="1983-03-24T00:00:00"/>
    <n v="8720989381"/>
    <s v="123 Elm St"/>
    <d v="2023-06-19T00:00:00"/>
    <s v="emily.miller@mail.com"/>
    <s v="D010"/>
    <s v="Linda Wilson"/>
    <s v="Oncology"/>
    <n v="6176383634"/>
    <s v="Eastside Clinic"/>
    <d v="2023-08-19T00:00:00"/>
    <d v="1899-12-30T17:15:00"/>
    <s v="Checkup"/>
    <x v="0"/>
    <s v="T195"/>
    <s v="ECG"/>
    <n v="2777.64"/>
    <d v="2023-08-19T00:00:00"/>
    <s v="B195"/>
    <d v="2023-08-19T00:00:00"/>
    <n v="2777.64"/>
    <s v="Credit Card"/>
    <x v="2"/>
  </r>
  <r>
    <s v="A196"/>
    <s v="P045"/>
    <s v="Linda Miller"/>
    <s v="F"/>
    <d v="1966-04-25T00:00:00"/>
    <n v="7579616535"/>
    <s v="321 Maple Dr"/>
    <d v="2021-01-23T00:00:00"/>
    <s v="linda.miller@mail.com"/>
    <s v="D006"/>
    <s v="Alex Davis"/>
    <s v="Pediatrics"/>
    <n v="6570137231"/>
    <s v="Central Hospital"/>
    <d v="2023-10-26T00:00:00"/>
    <d v="1899-12-30T09:45:00"/>
    <s v="Checkup"/>
    <x v="2"/>
    <s v="T196"/>
    <s v="Chemotherapy"/>
    <n v="2477.8000000000002"/>
    <d v="2023-10-26T00:00:00"/>
    <s v="B196"/>
    <d v="2023-10-26T00:00:00"/>
    <n v="2477.8000000000002"/>
    <s v="Cash"/>
    <x v="0"/>
  </r>
  <r>
    <s v="A197"/>
    <s v="P001"/>
    <s v="David Williams"/>
    <s v="F"/>
    <d v="1955-06-04T00:00:00"/>
    <n v="6939585183"/>
    <s v="789 Pine Rd"/>
    <d v="2022-06-23T00:00:00"/>
    <s v="david.williams@mail.com"/>
    <s v="D005"/>
    <s v="Sarah Taylor"/>
    <s v="Dermatology"/>
    <n v="9118538547"/>
    <s v="Central Hospital"/>
    <d v="2023-04-01T00:00:00"/>
    <d v="1899-12-30T13:30:00"/>
    <s v="Emergency"/>
    <x v="1"/>
    <s v="T197"/>
    <s v="Physiotherapy"/>
    <n v="975.49"/>
    <d v="2023-04-01T00:00:00"/>
    <s v="B197"/>
    <d v="2023-04-01T00:00:00"/>
    <n v="975.49"/>
    <s v="Cash"/>
    <x v="0"/>
  </r>
  <r>
    <s v="A198"/>
    <s v="P022"/>
    <s v="John Brown"/>
    <s v="M"/>
    <d v="1955-05-10T00:00:00"/>
    <n v="6221099573"/>
    <s v="321 Maple Dr"/>
    <d v="2021-05-11T00:00:00"/>
    <s v="john.brown@mail.com"/>
    <s v="D006"/>
    <s v="Alex Davis"/>
    <s v="Pediatrics"/>
    <n v="6570137231"/>
    <s v="Central Hospital"/>
    <d v="2023-05-15T00:00:00"/>
    <d v="1899-12-30T08:30:00"/>
    <s v="Therapy"/>
    <x v="1"/>
    <s v="T198"/>
    <s v="ECG"/>
    <n v="3383.72"/>
    <d v="2023-05-15T00:00:00"/>
    <s v="B198"/>
    <d v="2023-05-15T00:00:00"/>
    <n v="3383.72"/>
    <s v="Cash"/>
    <x v="2"/>
  </r>
  <r>
    <s v="A199"/>
    <s v="P017"/>
    <s v="Jane Jones"/>
    <s v="M"/>
    <d v="1991-05-01T00:00:00"/>
    <n v="6158428240"/>
    <s v="456 Oak Ave"/>
    <d v="2022-09-26T00:00:00"/>
    <s v="jane.jones@mail.com"/>
    <s v="D001"/>
    <s v="David Taylor"/>
    <s v="Dermatology"/>
    <n v="8322010158"/>
    <s v="Westside Clinic"/>
    <d v="2023-05-01T00:00:00"/>
    <d v="1899-12-30T12:45:00"/>
    <s v="Follow-up"/>
    <x v="3"/>
    <s v="T199"/>
    <s v="Chemotherapy"/>
    <n v="1472.17"/>
    <d v="2023-05-01T00:00:00"/>
    <s v="B199"/>
    <d v="2023-05-01T00:00:00"/>
    <n v="1472.17"/>
    <s v="Credit Card"/>
    <x v="1"/>
  </r>
  <r>
    <s v="A200"/>
    <s v="P007"/>
    <s v="Alex Johnson"/>
    <s v="F"/>
    <d v="1989-06-08T00:00:00"/>
    <n v="6278710077"/>
    <s v="789 Pine Rd"/>
    <d v="2021-12-25T00:00:00"/>
    <s v="alex.johnson@mail.com"/>
    <s v="D005"/>
    <s v="Sarah Taylor"/>
    <s v="Dermatology"/>
    <n v="9118538547"/>
    <s v="Central Hospital"/>
    <d v="2023-12-30T00:00:00"/>
    <d v="1899-12-30T10:15:00"/>
    <s v="Consultation"/>
    <x v="2"/>
    <s v="T200"/>
    <s v="X-Ray"/>
    <n v="3288.15"/>
    <d v="2023-12-30T00:00:00"/>
    <s v="B200"/>
    <d v="2023-12-30T00:00:00"/>
    <n v="3288.15"/>
    <s v="Insuranc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586446-22AA-4B18-9999-0A46BBD99214}" name="PivotTable17"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7">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axis="axisRow" showAll="0">
      <items count="5">
        <item x="2"/>
        <item x="3"/>
        <item x="1"/>
        <item x="0"/>
        <item t="default"/>
      </items>
    </pivotField>
    <pivotField showAll="0"/>
    <pivotField showAll="0"/>
    <pivotField numFmtId="165" showAll="0"/>
    <pivotField numFmtId="14" showAll="0"/>
    <pivotField showAll="0"/>
    <pivotField numFmtId="14" showAll="0"/>
    <pivotField numFmtId="165" showAll="0"/>
    <pivotField showAll="0"/>
    <pivotField showAll="0"/>
  </pivotFields>
  <rowFields count="1">
    <field x="17"/>
  </rowFields>
  <rowItems count="5">
    <i>
      <x/>
    </i>
    <i>
      <x v="1"/>
    </i>
    <i>
      <x v="2"/>
    </i>
    <i>
      <x v="3"/>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939F9-02EE-44ED-9EFF-97924E54847B}" name="PivotTable18"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7">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axis="axisRow" showAll="0">
      <items count="5">
        <item x="2"/>
        <item x="3"/>
        <item x="1"/>
        <item x="0"/>
        <item t="default"/>
      </items>
    </pivotField>
    <pivotField showAll="0"/>
    <pivotField showAll="0"/>
    <pivotField numFmtId="165" showAll="0"/>
    <pivotField numFmtId="14" showAll="0"/>
    <pivotField showAll="0"/>
    <pivotField numFmtId="14" showAll="0"/>
    <pivotField numFmtId="165" showAll="0"/>
    <pivotField showAll="0"/>
    <pivotField showAll="0"/>
  </pivotFields>
  <rowFields count="1">
    <field x="17"/>
  </rowFields>
  <rowItems count="5">
    <i>
      <x/>
    </i>
    <i>
      <x v="1"/>
    </i>
    <i>
      <x v="2"/>
    </i>
    <i>
      <x v="3"/>
    </i>
    <i t="grand">
      <x/>
    </i>
  </rowItems>
  <colItems count="1">
    <i/>
  </colItems>
  <dataFields count="1">
    <dataField name="Count of appointm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0"/>
          </reference>
        </references>
      </pivotArea>
    </chartFormat>
    <chartFormat chart="3" format="8">
      <pivotArea type="data" outline="0" fieldPosition="0">
        <references count="2">
          <reference field="4294967294" count="1" selected="0">
            <x v="0"/>
          </reference>
          <reference field="17" count="1" selected="0">
            <x v="1"/>
          </reference>
        </references>
      </pivotArea>
    </chartFormat>
    <chartFormat chart="3" format="9">
      <pivotArea type="data" outline="0" fieldPosition="0">
        <references count="2">
          <reference field="4294967294" count="1" selected="0">
            <x v="0"/>
          </reference>
          <reference field="17" count="1" selected="0">
            <x v="2"/>
          </reference>
        </references>
      </pivotArea>
    </chartFormat>
    <chartFormat chart="3"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CA9AB-320F-483A-8065-9BF0104506D4}" name="PivotTable19"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7">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axis="axisRow" showAll="0">
      <items count="5">
        <item x="2"/>
        <item x="3"/>
        <item x="1"/>
        <item x="0"/>
        <item t="default"/>
      </items>
    </pivotField>
    <pivotField showAll="0"/>
    <pivotField showAll="0"/>
    <pivotField numFmtId="165" showAll="0"/>
    <pivotField numFmtId="14" showAll="0"/>
    <pivotField showAll="0"/>
    <pivotField numFmtId="14" showAll="0"/>
    <pivotField numFmtId="165" showAll="0"/>
    <pivotField showAll="0"/>
    <pivotField showAll="0"/>
  </pivotFields>
  <rowFields count="1">
    <field x="17"/>
  </rowFields>
  <rowItems count="5">
    <i>
      <x/>
    </i>
    <i>
      <x v="1"/>
    </i>
    <i>
      <x v="2"/>
    </i>
    <i>
      <x v="3"/>
    </i>
    <i t="grand">
      <x/>
    </i>
  </rowItems>
  <colItems count="1">
    <i/>
  </colItems>
  <dataFields count="1">
    <dataField name="Count of appointm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0"/>
          </reference>
        </references>
      </pivotArea>
    </chartFormat>
    <chartFormat chart="3" format="8">
      <pivotArea type="data" outline="0" fieldPosition="0">
        <references count="2">
          <reference field="4294967294" count="1" selected="0">
            <x v="0"/>
          </reference>
          <reference field="17" count="1" selected="0">
            <x v="1"/>
          </reference>
        </references>
      </pivotArea>
    </chartFormat>
    <chartFormat chart="3" format="9">
      <pivotArea type="data" outline="0" fieldPosition="0">
        <references count="2">
          <reference field="4294967294" count="1" selected="0">
            <x v="0"/>
          </reference>
          <reference field="17" count="1" selected="0">
            <x v="2"/>
          </reference>
        </references>
      </pivotArea>
    </chartFormat>
    <chartFormat chart="3"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C49BA6-523E-446B-8DFE-80AF4D4A4C0A}" name="PivotTable21"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7">
    <pivotField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showAll="0"/>
    <pivotField showAll="0"/>
    <pivotField showAll="0"/>
    <pivotField numFmtId="165" showAll="0"/>
    <pivotField numFmtId="14" showAll="0"/>
    <pivotField showAll="0"/>
    <pivotField numFmtId="14" showAll="0"/>
    <pivotField dataField="1" numFmtId="165" showAll="0"/>
    <pivotField showAll="0"/>
    <pivotField axis="axisRow" showAll="0">
      <items count="4">
        <item x="2"/>
        <item x="1"/>
        <item x="0"/>
        <item t="default"/>
      </items>
    </pivotField>
  </pivotFields>
  <rowFields count="1">
    <field x="26"/>
  </rowFields>
  <rowItems count="4">
    <i>
      <x/>
    </i>
    <i>
      <x v="1"/>
    </i>
    <i>
      <x v="2"/>
    </i>
    <i t="grand">
      <x/>
    </i>
  </rowItems>
  <colItems count="1">
    <i/>
  </colItems>
  <dataFields count="1">
    <dataField name="Sum of amount" fld="24" baseField="0" baseItem="0" numFmtId="165"/>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829B24-8125-49C3-8046-3263BB2F5CF5}" name="PivotTable22"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7">
    <pivotField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showAll="0"/>
    <pivotField showAll="0"/>
    <pivotField showAll="0"/>
    <pivotField numFmtId="165" showAll="0"/>
    <pivotField numFmtId="14" showAll="0"/>
    <pivotField showAll="0"/>
    <pivotField numFmtId="14" showAll="0"/>
    <pivotField dataField="1" numFmtId="165" showAll="0"/>
    <pivotField showAll="0"/>
    <pivotField axis="axisRow" showAll="0">
      <items count="4">
        <item x="2"/>
        <item x="1"/>
        <item x="0"/>
        <item t="default"/>
      </items>
    </pivotField>
  </pivotFields>
  <rowFields count="1">
    <field x="26"/>
  </rowFields>
  <rowItems count="4">
    <i>
      <x/>
    </i>
    <i>
      <x v="1"/>
    </i>
    <i>
      <x v="2"/>
    </i>
    <i t="grand">
      <x/>
    </i>
  </rowItems>
  <colItems count="1">
    <i/>
  </colItems>
  <dataFields count="1">
    <dataField name="Sum of amount" fld="2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146AF-E89E-4D78-8C86-F1F95BFC35A9}" name="PivotTable23"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7">
    <pivotField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showAll="0"/>
    <pivotField showAll="0"/>
    <pivotField showAll="0"/>
    <pivotField numFmtId="165" showAll="0"/>
    <pivotField numFmtId="14" showAll="0"/>
    <pivotField showAll="0"/>
    <pivotField numFmtId="14" showAll="0"/>
    <pivotField dataField="1" numFmtId="165" showAll="0"/>
    <pivotField showAll="0"/>
    <pivotField axis="axisRow" showAll="0">
      <items count="4">
        <item x="2"/>
        <item x="1"/>
        <item x="0"/>
        <item t="default"/>
      </items>
    </pivotField>
  </pivotFields>
  <rowFields count="1">
    <field x="26"/>
  </rowFields>
  <rowItems count="4">
    <i>
      <x/>
    </i>
    <i>
      <x v="1"/>
    </i>
    <i>
      <x v="2"/>
    </i>
    <i t="grand">
      <x/>
    </i>
  </rowItems>
  <colItems count="1">
    <i/>
  </colItems>
  <dataFields count="1">
    <dataField name="Sum of amount" fld="24" showDataAs="percentOfTotal" baseField="0" baseItem="0" numFmtId="10"/>
  </dataFields>
  <chartFormats count="5">
    <chartFormat chart="0"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6" count="1" selected="0">
            <x v="0"/>
          </reference>
        </references>
      </pivotArea>
    </chartFormat>
    <chartFormat chart="3" format="8">
      <pivotArea type="data" outline="0" fieldPosition="0">
        <references count="2">
          <reference field="4294967294" count="1" selected="0">
            <x v="0"/>
          </reference>
          <reference field="26" count="1" selected="0">
            <x v="1"/>
          </reference>
        </references>
      </pivotArea>
    </chartFormat>
    <chartFormat chart="3" format="9">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F7FED-FDD8-4121-9AAC-208B1E0767D5}" name="PivotTable25"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cost" fld="1"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6].[HOSPITAL BRANCH].&amp;[Central Hospital]"/>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42CCA5-AB96-4392-93AF-2867B8DDF3A5}" name="PivotTable27" cacheId="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4"/>
    </i>
    <i>
      <x v="3"/>
    </i>
    <i>
      <x v="1"/>
    </i>
    <i t="grand">
      <x/>
    </i>
  </rowItems>
  <colItems count="1">
    <i/>
  </colItems>
  <dataFields count="1">
    <dataField name="Sum of cos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6].[HOSPITAL BRANCH].&amp;[Central Hospital]"/>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F9F0F7-215C-4800-86A3-CEDBF3942078}" name="PivotTable28"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7">
    <pivotField showAll="0"/>
    <pivotField showAll="0"/>
    <pivotField showAll="0"/>
    <pivotField showAll="0"/>
    <pivotField numFmtId="14" showAll="0"/>
    <pivotField showAll="0"/>
    <pivotField showAll="0"/>
    <pivotField numFmtId="14" showAll="0"/>
    <pivotField showAll="0"/>
    <pivotField showAll="0"/>
    <pivotField showAll="0"/>
    <pivotField showAll="0"/>
    <pivotField showAll="0"/>
    <pivotField showAll="0"/>
    <pivotField numFmtId="14" showAll="0"/>
    <pivotField numFmtId="164" showAll="0"/>
    <pivotField showAll="0"/>
    <pivotField showAll="0"/>
    <pivotField showAll="0"/>
    <pivotField showAll="0"/>
    <pivotField numFmtId="165" showAll="0"/>
    <pivotField numFmtId="14" showAll="0"/>
    <pivotField showAll="0"/>
    <pivotField numFmtId="14" showAll="0"/>
    <pivotField dataField="1" numFmtId="165" showAll="0"/>
    <pivotField showAll="0"/>
    <pivotField axis="axisRow" showAll="0">
      <items count="4">
        <item x="2"/>
        <item x="1"/>
        <item x="0"/>
        <item t="default"/>
      </items>
    </pivotField>
  </pivotFields>
  <rowFields count="1">
    <field x="26"/>
  </rowFields>
  <rowItems count="4">
    <i>
      <x/>
    </i>
    <i>
      <x v="1"/>
    </i>
    <i>
      <x v="2"/>
    </i>
    <i t="grand">
      <x/>
    </i>
  </rowItems>
  <colItems count="1">
    <i/>
  </colItems>
  <dataFields count="1">
    <dataField name="Sum of amount" fld="24"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5BF254BB-8C00-4875-B6DC-7DB20B583A45}" autoFormatId="16" applyNumberFormats="0" applyBorderFormats="0" applyFontFormats="0" applyPatternFormats="0" applyAlignmentFormats="0" applyWidthHeightFormats="0">
  <queryTableRefresh nextId="8">
    <queryTableFields count="7">
      <queryTableField id="1" name="bill_id" tableColumnId="1"/>
      <queryTableField id="2" name="patient_id" tableColumnId="2"/>
      <queryTableField id="3" name="treatment_id" tableColumnId="3"/>
      <queryTableField id="4" name="bill_date" tableColumnId="4"/>
      <queryTableField id="5" name="amount" tableColumnId="5"/>
      <queryTableField id="6" name="payment_method" tableColumnId="6"/>
      <queryTableField id="7" name="payment_statu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8A18FD2D-B5A2-4300-A81F-D2BDB6638C61}" autoFormatId="16" applyNumberFormats="0" applyBorderFormats="0" applyFontFormats="0" applyPatternFormats="0" applyAlignmentFormats="0" applyWidthHeightFormats="0">
  <queryTableRefresh nextId="7">
    <queryTableFields count="6">
      <queryTableField id="1" name="treatment_id" tableColumnId="1"/>
      <queryTableField id="2" name="appointment_id" tableColumnId="2"/>
      <queryTableField id="3" name="treatment_type" tableColumnId="3"/>
      <queryTableField id="4" name="description" tableColumnId="4"/>
      <queryTableField id="5" name="cost" tableColumnId="5"/>
      <queryTableField id="6" name="treatment_d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8A0992F3-9A06-4632-A590-99ACCE93D988}" autoFormatId="16" applyNumberFormats="0" applyBorderFormats="0" applyFontFormats="0" applyPatternFormats="0" applyAlignmentFormats="0" applyWidthHeightFormats="0">
  <queryTableRefresh nextId="9">
    <queryTableFields count="8">
      <queryTableField id="1" name="doctor_id" tableColumnId="1"/>
      <queryTableField id="2" name="first_name" tableColumnId="2"/>
      <queryTableField id="3" name="last_name" tableColumnId="3"/>
      <queryTableField id="4" name="specialization" tableColumnId="4"/>
      <queryTableField id="5" name="phone_number" tableColumnId="5"/>
      <queryTableField id="6" name="years_experience" tableColumnId="6"/>
      <queryTableField id="7" name="hospital_branch" tableColumnId="7"/>
      <queryTableField id="8" name="email"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C40B94F3-92FB-4E0A-BA6D-B284E6681021}" autoFormatId="16" applyNumberFormats="0" applyBorderFormats="0" applyFontFormats="0" applyPatternFormats="0" applyAlignmentFormats="0" applyWidthHeightFormats="0">
  <queryTableRefresh nextId="12">
    <queryTableFields count="11">
      <queryTableField id="1" name="patient_id" tableColumnId="1"/>
      <queryTableField id="2" name="first_name" tableColumnId="2"/>
      <queryTableField id="3" name="last_name" tableColumnId="3"/>
      <queryTableField id="4" name="gender" tableColumnId="4"/>
      <queryTableField id="5" name="date_of_birth" tableColumnId="5"/>
      <queryTableField id="6" name="contact_number" tableColumnId="6"/>
      <queryTableField id="7" name="address" tableColumnId="7"/>
      <queryTableField id="8" name="registration_date" tableColumnId="8"/>
      <queryTableField id="9" name="insurance_provider" tableColumnId="9"/>
      <queryTableField id="10" name="insurance_number" tableColumnId="10"/>
      <queryTableField id="11" name="email"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44D6D9AE-86EA-41DD-91DF-EC616DB3E023}" autoFormatId="16" applyNumberFormats="0" applyBorderFormats="0" applyFontFormats="0" applyPatternFormats="0" applyAlignmentFormats="0" applyWidthHeightFormats="0">
  <queryTableRefresh nextId="8">
    <queryTableFields count="7">
      <queryTableField id="1" name="appointment_id" tableColumnId="1"/>
      <queryTableField id="2" name="patient_id" tableColumnId="2"/>
      <queryTableField id="3" name="doctor_id" tableColumnId="3"/>
      <queryTableField id="4" name="appointment_date" tableColumnId="4"/>
      <queryTableField id="5" name="appointment_time" tableColumnId="5"/>
      <queryTableField id="6" name="reason_for_visit" tableColumnId="6"/>
      <queryTableField id="7" name="statu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 xr10:uid="{F05F53B7-C4A9-4E53-A74A-FA4AB1926A6E}" sourceName="[Table6].[SPECIALIZATION]">
  <pivotTables>
    <pivotTable tabId="43" name="PivotTable27"/>
    <pivotTable tabId="41" name="PivotTable25"/>
  </pivotTables>
  <data>
    <olap pivotCacheId="2097674393">
      <levels count="2">
        <level uniqueName="[Table6].[SPECIALIZATION].[(All)]" sourceCaption="(All)" count="0"/>
        <level uniqueName="[Table6].[SPECIALIZATION].[SPECIALIZATION]" sourceCaption="SPECIALIZATION" count="3">
          <ranges>
            <range startItem="0">
              <i n="[Table6].[SPECIALIZATION].&amp;[Dermatology]" c="Dermatology"/>
              <i n="[Table6].[SPECIALIZATION].&amp;[Pediatrics]" c="Pediatrics"/>
              <i n="[Table6].[SPECIALIZATION].&amp;[Oncology]" c="Oncology" nd="1"/>
            </range>
          </ranges>
        </level>
      </levels>
      <selections count="1">
        <selection n="[Table6].[SPECIALIZ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 xr10:uid="{64530441-63A5-455D-80EB-5EBF020524DA}" sourceName="[Table6].[HOSPITAL BRANCH]">
  <pivotTables>
    <pivotTable tabId="43" name="PivotTable27"/>
    <pivotTable tabId="41" name="PivotTable25"/>
  </pivotTables>
  <data>
    <olap pivotCacheId="2097674393">
      <levels count="2">
        <level uniqueName="[Table6].[HOSPITAL BRANCH].[(All)]" sourceCaption="(All)" count="0"/>
        <level uniqueName="[Table6].[HOSPITAL BRANCH].[HOSPITAL BRANCH]" sourceCaption="HOSPITAL BRANCH" count="3">
          <ranges>
            <range startItem="0">
              <i n="[Table6].[HOSPITAL BRANCH].&amp;[Central Hospital]" c="Central Hospital"/>
              <i n="[Table6].[HOSPITAL BRANCH].&amp;[Eastside Clinic]" c="Eastside Clinic"/>
              <i n="[Table6].[HOSPITAL BRANCH].&amp;[Westside Clinic]" c="Westside Clinic"/>
            </range>
          </ranges>
        </level>
      </levels>
      <selections count="1">
        <selection n="[Table6].[HOSPITAL BRANCH].&amp;[Central Hospita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AEA345C-AC98-45FD-B1B9-8FB5970A222E}" sourceName="[Table6].[status]">
  <pivotTables>
    <pivotTable tabId="43" name="PivotTable27"/>
    <pivotTable tabId="41" name="PivotTable25"/>
  </pivotTables>
  <data>
    <olap pivotCacheId="2097674393">
      <levels count="2">
        <level uniqueName="[Table6].[status].[(All)]" sourceCaption="(All)" count="0"/>
        <level uniqueName="[Table6].[status].[status]" sourceCaption="status" count="4">
          <ranges>
            <range startItem="0">
              <i n="[Table6].[status].&amp;[Cancelled]" c="Cancelled"/>
              <i n="[Table6].[status].&amp;[Completed]" c="Completed"/>
              <i n="[Table6].[status].&amp;[No-show]" c="No-show"/>
              <i n="[Table6].[status].&amp;[Scheduled]" c="Scheduled"/>
            </range>
          </ranges>
        </level>
      </levels>
      <selections count="1">
        <selection n="[Table6].[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BD522EDC-2BAB-40A4-BE3C-78ABA5468879}" sourceName="[treatments].[treatment_type]">
  <pivotTables>
    <pivotTable tabId="43" name="PivotTable27"/>
    <pivotTable tabId="41" name="PivotTable25"/>
  </pivotTables>
  <data>
    <olap pivotCacheId="2097674393">
      <levels count="2">
        <level uniqueName="[treatments].[treatment_type].[(All)]" sourceCaption="(All)" count="0"/>
        <level uniqueName="[treatments].[treatment_type].[treatment_type]" sourceCaption="treatment_type" count="5">
          <ranges>
            <range startItem="0">
              <i n="[treatments].[treatment_type].&amp;[Chemotherapy]" c="Chemotherapy"/>
              <i n="[treatments].[treatment_type].&amp;[ECG]" c="ECG"/>
              <i n="[treatments].[treatment_type].&amp;[MRI]" c="MRI"/>
              <i n="[treatments].[treatment_type].&amp;[Physiotherapy]" c="Physiotherapy"/>
              <i n="[treatments].[treatment_type].&amp;[X-Ray]" c="X-Ray"/>
            </range>
          </ranges>
        </level>
      </levels>
      <selections count="1">
        <selection n="[treatments].[treatment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3E8E793A-9E13-4851-AC87-ED7E208D1F90}" sourceName="[Table6].[payment_status]">
  <pivotTables>
    <pivotTable tabId="43" name="PivotTable27"/>
    <pivotTable tabId="41" name="PivotTable25"/>
  </pivotTables>
  <data>
    <olap pivotCacheId="2097674393">
      <levels count="2">
        <level uniqueName="[Table6].[payment_status].[(All)]" sourceCaption="(All)" count="0"/>
        <level uniqueName="[Table6].[payment_status].[payment_status]" sourceCaption="payment_status" count="3">
          <ranges>
            <range startItem="0">
              <i n="[Table6].[payment_status].&amp;[Failed]" c="Failed"/>
              <i n="[Table6].[payment_status].&amp;[Paid]" c="Paid"/>
              <i n="[Table6].[payment_status].&amp;[Pending]" c="Pending"/>
            </range>
          </ranges>
        </level>
      </levels>
      <selections count="1">
        <selection n="[Table6].[payment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IZATION" xr10:uid="{75740DE8-A475-4B27-90CB-544B09A3A892}" cache="Slicer_SPECIALIZATION" caption="SPECIALIZATION" level="1" rowHeight="251883"/>
  <slicer name="HOSPITAL BRANCH" xr10:uid="{4EB3B1B0-B4FD-47F8-8C3A-646E05C4A82F}" cache="Slicer_HOSPITAL_BRANCH" caption="HOSPITAL BRANCH" level="1" rowHeight="251883"/>
  <slicer name="status" xr10:uid="{A71CF784-BB9E-45A3-8629-ED14730F74BE}" cache="Slicer_status" caption="status" level="1" rowHeight="251883"/>
  <slicer name="treatment_type" xr10:uid="{1C99CE80-7433-40EC-BB5B-865F5221E39F}" cache="Slicer_treatment_type" caption="treatment_type" level="1" rowHeight="251883"/>
  <slicer name="payment_status" xr10:uid="{2E067F95-E27D-4492-9F11-9C1FB81209CC}" cache="Slicer_payment_status" caption="payment_status"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IZATION 1" xr10:uid="{0BD769DB-947E-498B-BB8A-6088D0AF6517}" cache="Slicer_SPECIALIZATION" caption="SPECIALIZATION" level="1" rowHeight="251883"/>
  <slicer name="HOSPITAL BRANCH 1" xr10:uid="{6371B7F7-FE20-49DE-AEFD-540957193278}" cache="Slicer_HOSPITAL_BRANCH" caption="HOSPITAL BRANCH" level="1" rowHeight="251883"/>
  <slicer name="status 1" xr10:uid="{11650FB7-D068-4A2C-82CE-8ED9D74A9754}" cache="Slicer_status" caption="status" level="1" rowHeight="251883"/>
  <slicer name="treatment_type 1" xr10:uid="{8DE2CF93-7625-47B5-8841-E88B1C972BE3}" cache="Slicer_treatment_type" caption="treatment_type" level="1" rowHeight="251883"/>
  <slicer name="payment_status 1" xr10:uid="{179FDA84-A5E8-49D7-92B9-6E71042209A6}" cache="Slicer_payment_status" caption="payment_status"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695DA8-BC9F-44DC-9C4C-B2CF961405ED}" name="billing" displayName="billing" ref="A1:G201" tableType="queryTable" totalsRowShown="0">
  <autoFilter ref="A1:G201" xr:uid="{51695DA8-BC9F-44DC-9C4C-B2CF961405ED}"/>
  <tableColumns count="7">
    <tableColumn id="1" xr3:uid="{95D054DB-638A-4997-BA55-28C1495D18A2}" uniqueName="1" name="bill_id" queryTableFieldId="1" dataDxfId="33"/>
    <tableColumn id="2" xr3:uid="{9194BF64-EB1F-45E4-A3FD-6F9FF253638E}" uniqueName="2" name="patient_id" queryTableFieldId="2" dataDxfId="32"/>
    <tableColumn id="3" xr3:uid="{0254444C-2224-46CE-9760-3E5FE3D156C3}" uniqueName="3" name="treatment_id" queryTableFieldId="3" dataDxfId="31"/>
    <tableColumn id="4" xr3:uid="{AD0C92B5-04D8-4614-A7A6-56F2A919BD56}" uniqueName="4" name="bill_date" queryTableFieldId="4" dataDxfId="30"/>
    <tableColumn id="5" xr3:uid="{4A6B3E73-DAE8-4EFD-924A-07C315EB8390}" uniqueName="5" name="amount" queryTableFieldId="5"/>
    <tableColumn id="6" xr3:uid="{5CCB0283-4E0B-4DCF-B329-6FB863644C97}" uniqueName="6" name="payment_method" queryTableFieldId="6" dataDxfId="29"/>
    <tableColumn id="7" xr3:uid="{576C7709-3166-40D4-8F9A-E1F8BDBB83FB}" uniqueName="7" name="payment_status" queryTableFieldId="7"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28AA35-03FF-45F7-82AB-43BD87B29F91}" name="treatments" displayName="treatments" ref="A1:F201" tableType="queryTable" totalsRowShown="0">
  <autoFilter ref="A1:F201" xr:uid="{3F28AA35-03FF-45F7-82AB-43BD87B29F91}"/>
  <tableColumns count="6">
    <tableColumn id="1" xr3:uid="{70A5BA76-60C1-4EC0-A902-81BDF16BFDB2}" uniqueName="1" name="treatment_id" queryTableFieldId="1" dataDxfId="27"/>
    <tableColumn id="2" xr3:uid="{D0BD4FDB-908E-4E02-BDD9-C5B17E955501}" uniqueName="2" name="appointment_id" queryTableFieldId="2" dataDxfId="26"/>
    <tableColumn id="3" xr3:uid="{94A81FEC-79F5-4797-A5EA-CE2CFD94C75D}" uniqueName="3" name="treatment_type" queryTableFieldId="3" dataDxfId="25"/>
    <tableColumn id="4" xr3:uid="{0784F4EC-06B3-414D-9440-B5028F759BA6}" uniqueName="4" name="description" queryTableFieldId="4" dataDxfId="24"/>
    <tableColumn id="5" xr3:uid="{3F7CEED3-30CE-4304-BF7F-A766C98BDC3E}" uniqueName="5" name="cost" queryTableFieldId="5"/>
    <tableColumn id="6" xr3:uid="{52FB1F78-38F7-4351-BBB0-717F4D3EFADB}" uniqueName="6" name="treatment_date" queryTableFieldId="6"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87FF5A-0AD6-41D1-8EE4-73DDBCC35887}" name="doctors" displayName="doctors" ref="A1:H11" tableType="queryTable" totalsRowShown="0">
  <autoFilter ref="A1:H11" xr:uid="{B787FF5A-0AD6-41D1-8EE4-73DDBCC35887}"/>
  <tableColumns count="8">
    <tableColumn id="1" xr3:uid="{1F3AEA9D-F6C7-413F-9B43-C3668776BED7}" uniqueName="1" name="doctor_id" queryTableFieldId="1" dataDxfId="22"/>
    <tableColumn id="2" xr3:uid="{3950F25A-0ED0-4928-81DD-DCC3C769AC48}" uniqueName="2" name="first_name" queryTableFieldId="2" dataDxfId="21"/>
    <tableColumn id="3" xr3:uid="{DE8DA0E8-7EBB-488A-A638-53AC26A2604E}" uniqueName="3" name="last_name" queryTableFieldId="3" dataDxfId="20"/>
    <tableColumn id="4" xr3:uid="{172953D7-0F71-481A-9D7E-63DB71E197DE}" uniqueName="4" name="specialization" queryTableFieldId="4" dataDxfId="19"/>
    <tableColumn id="5" xr3:uid="{5CDB203E-4E2B-41CC-98BF-94B870076379}" uniqueName="5" name="phone_number" queryTableFieldId="5"/>
    <tableColumn id="6" xr3:uid="{E1A85F50-6D37-4919-8A09-C813B7F0259C}" uniqueName="6" name="years_experience" queryTableFieldId="6"/>
    <tableColumn id="7" xr3:uid="{4EDAB607-EEE5-4793-A255-C58D7F5A8EA3}" uniqueName="7" name="hospital_branch" queryTableFieldId="7" dataDxfId="18"/>
    <tableColumn id="8" xr3:uid="{C8E63180-A8F9-4BDB-8F10-421B634AEE39}" uniqueName="8" name="email" queryTableFieldId="8"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AB34C1-3F14-4AFE-AFDB-679A2BC53457}" name="patients" displayName="patients" ref="A1:K51" tableType="queryTable" totalsRowShown="0">
  <autoFilter ref="A1:K51" xr:uid="{36AB34C1-3F14-4AFE-AFDB-679A2BC53457}"/>
  <tableColumns count="11">
    <tableColumn id="1" xr3:uid="{9039C283-F0D5-461A-A965-B92A0E08C5F1}" uniqueName="1" name="patient_id" queryTableFieldId="1" dataDxfId="16"/>
    <tableColumn id="2" xr3:uid="{11B7AD47-9259-41DD-A560-F57432B42DB0}" uniqueName="2" name="first_name" queryTableFieldId="2" dataDxfId="15"/>
    <tableColumn id="3" xr3:uid="{5E3BEDC8-599C-4DEF-8799-80CAA70721E2}" uniqueName="3" name="last_name" queryTableFieldId="3" dataDxfId="14"/>
    <tableColumn id="4" xr3:uid="{DE89D856-7B17-4BF9-A783-B605F39A286D}" uniqueName="4" name="gender" queryTableFieldId="4" dataDxfId="13"/>
    <tableColumn id="5" xr3:uid="{4E445566-C881-4EF2-B786-AF8B568C089B}" uniqueName="5" name="date_of_birth" queryTableFieldId="5" dataDxfId="12"/>
    <tableColumn id="6" xr3:uid="{517FA7B1-E843-4A13-AF95-8A8A1DF6095B}" uniqueName="6" name="contact_number" queryTableFieldId="6"/>
    <tableColumn id="7" xr3:uid="{7F750F04-5896-4251-B987-DF570E40B04B}" uniqueName="7" name="address" queryTableFieldId="7" dataDxfId="11"/>
    <tableColumn id="8" xr3:uid="{5B921079-3B5C-4623-8B12-BEF43B0D15E8}" uniqueName="8" name="registration_date" queryTableFieldId="8" dataDxfId="10"/>
    <tableColumn id="9" xr3:uid="{88E5966A-C252-4992-A4A0-050A2DFA61C4}" uniqueName="9" name="insurance_provider" queryTableFieldId="9" dataDxfId="9"/>
    <tableColumn id="10" xr3:uid="{55079E38-91ED-4E5F-8D40-5DC09F2D5FB2}" uniqueName="10" name="insurance_number" queryTableFieldId="10" dataDxfId="8"/>
    <tableColumn id="11" xr3:uid="{60E041A0-B2FB-4F54-B03C-DEAD6C8576E4}" uniqueName="11" name="email" queryTableFieldId="11"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8AB62C-7606-4424-A0D5-8AE35AE1ABBE}" name="appointments" displayName="appointments" ref="A1:G201" tableType="queryTable" totalsRowShown="0">
  <autoFilter ref="A1:G201" xr:uid="{3C8AB62C-7606-4424-A0D5-8AE35AE1ABBE}"/>
  <tableColumns count="7">
    <tableColumn id="1" xr3:uid="{07E53F34-A902-4112-B6E4-A18DBD437BFC}" uniqueName="1" name="appointment_id" queryTableFieldId="1" dataDxfId="6"/>
    <tableColumn id="2" xr3:uid="{30C070D1-07E0-487C-AB1D-4F551594B4AB}" uniqueName="2" name="patient_id" queryTableFieldId="2" dataDxfId="5"/>
    <tableColumn id="3" xr3:uid="{05E12CB1-D612-4B53-9C2F-CFACB0E241D6}" uniqueName="3" name="doctor_id" queryTableFieldId="3" dataDxfId="4"/>
    <tableColumn id="4" xr3:uid="{7EF831E7-8A4F-4C7F-91FA-D636787C991D}" uniqueName="4" name="appointment_date" queryTableFieldId="4" dataDxfId="3"/>
    <tableColumn id="5" xr3:uid="{7240E168-191A-4DD6-A1BB-456F0FE387DA}" uniqueName="5" name="appointment_time" queryTableFieldId="5" dataDxfId="2"/>
    <tableColumn id="6" xr3:uid="{55BC75E9-F10F-4EC6-AD60-740C70B8A54D}" uniqueName="6" name="reason_for_visit" queryTableFieldId="6" dataDxfId="1"/>
    <tableColumn id="7" xr3:uid="{3075894B-1072-43AD-AEFE-300926B997D5}" uniqueName="7" name="status" queryTableFieldId="7"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A5A906-AA6B-4B25-BEC6-9F5D4FC17788}" name="Table6" displayName="Table6" ref="A1:AA201" totalsRowShown="0">
  <autoFilter ref="A1:AA201" xr:uid="{21A5A906-AA6B-4B25-BEC6-9F5D4FC17788}"/>
  <tableColumns count="27">
    <tableColumn id="1" xr3:uid="{8583052D-02CA-4400-9E98-08D37A37CF98}" name="appointment_id" dataDxfId="51"/>
    <tableColumn id="2" xr3:uid="{914BC75F-3162-4885-B8B2-17CD35EFA736}" name="patient_id" dataDxfId="50"/>
    <tableColumn id="3" xr3:uid="{34024BCF-688E-494A-9F7D-D6FCE3C30727}" name="NAME">
      <calculatedColumnFormula>VLOOKUP(B2,patients!$A:$K,2,FALSE)&amp;" "&amp;VLOOKUP('HOSPITAL MANAGEMENT DATA'!B2,patients!$A:$K,3,FALSE)</calculatedColumnFormula>
    </tableColumn>
    <tableColumn id="4" xr3:uid="{C635C5DD-9E51-44FF-B9EB-AAC595360633}" name="GENDER">
      <calculatedColumnFormula>VLOOKUP(B2,patients!$A:$K,4,FALSE)</calculatedColumnFormula>
    </tableColumn>
    <tableColumn id="5" xr3:uid="{0F44D39D-8BB7-4258-A0B0-684CAD8B14A3}" name="DATE OF BIRTH" dataDxfId="49">
      <calculatedColumnFormula>VLOOKUP(B2,patients!$A:$K,5,FALSE)</calculatedColumnFormula>
    </tableColumn>
    <tableColumn id="6" xr3:uid="{8BA46B90-903D-4226-9929-143B66078BA3}" name="CONTACT NUMBER">
      <calculatedColumnFormula>VLOOKUP(B2,patients!$A:$K,6,FALSE)</calculatedColumnFormula>
    </tableColumn>
    <tableColumn id="7" xr3:uid="{CE686629-1240-40BE-8363-8C1D523BBC8A}" name="ADDRESS">
      <calculatedColumnFormula>VLOOKUP(B2,patients!$A:$K,7,FALSE)</calculatedColumnFormula>
    </tableColumn>
    <tableColumn id="8" xr3:uid="{8FFDB5D7-1821-4270-8C08-86D3B3015025}" name="REGISTRATION DATE" dataDxfId="48">
      <calculatedColumnFormula>VLOOKUP(B2,patients!$A:$K,8,FALSE)</calculatedColumnFormula>
    </tableColumn>
    <tableColumn id="9" xr3:uid="{6490005C-99DE-4B9B-B60E-156A7E19C3E5}" name="PATIENT EMAIL">
      <calculatedColumnFormula>VLOOKUP(B2,patients!$A:$K,11,FALSE)</calculatedColumnFormula>
    </tableColumn>
    <tableColumn id="10" xr3:uid="{6AD38E6A-7996-45B4-BF2B-337F16F786EA}" name="doctor_id" dataDxfId="47"/>
    <tableColumn id="11" xr3:uid="{FB28FA17-F9E9-45C7-A027-23E976196E2B}" name="DOCTOR NAME">
      <calculatedColumnFormula>VLOOKUP(J2,doctors!$A:$H,2,FALSE)&amp;" "&amp;VLOOKUP(J2,doctors!$A:$H,3,FALSE)</calculatedColumnFormula>
    </tableColumn>
    <tableColumn id="12" xr3:uid="{AC2F3B04-9F66-4AD6-A472-E937688D2D72}" name="SPECIALIZATION">
      <calculatedColumnFormula>VLOOKUP(J2,doctors!$A:$H,4,FALSE)</calculatedColumnFormula>
    </tableColumn>
    <tableColumn id="13" xr3:uid="{79EB3915-452B-444E-A10C-6915253E87D0}" name="PHONE NUMBER">
      <calculatedColumnFormula>VLOOKUP(J2,doctors!$A:$H,5,FALSE)</calculatedColumnFormula>
    </tableColumn>
    <tableColumn id="14" xr3:uid="{69B1A8D7-BAB1-43C5-BA87-B1B7F38A99CD}" name="HOSPITAL BRANCH">
      <calculatedColumnFormula>VLOOKUP(J2,doctors!$A:$H,7,FALSE)</calculatedColumnFormula>
    </tableColumn>
    <tableColumn id="15" xr3:uid="{7ABE50F0-F815-42E3-87F3-6C17AF6E8AEE}" name="appointment_date" dataDxfId="46"/>
    <tableColumn id="16" xr3:uid="{78F138E3-257E-4BB1-9D4F-0D32B9859E7C}" name="appointment_time" dataDxfId="45"/>
    <tableColumn id="17" xr3:uid="{7B68DD1A-3325-4B43-8E56-5875DE8D0BB3}" name="reason_for_visit" dataDxfId="44"/>
    <tableColumn id="18" xr3:uid="{3EBFDFCF-7C7A-4B29-8D4A-A689996E0751}" name="status" dataDxfId="43"/>
    <tableColumn id="19" xr3:uid="{D632CDA9-B77C-4EDF-B6FA-B2F2F4ACF3B6}" name="treatment_id" dataDxfId="42"/>
    <tableColumn id="20" xr3:uid="{BC15B115-1CFE-4BF6-9C47-F4C38B955F07}" name="treatment_type" dataDxfId="41"/>
    <tableColumn id="21" xr3:uid="{F4935041-8230-4F67-8BEB-B7517683DA0B}" name="cost" dataDxfId="40"/>
    <tableColumn id="22" xr3:uid="{80C0ED94-7D13-41B7-9D62-42CA42E5BF4B}" name="treatment_date" dataDxfId="39"/>
    <tableColumn id="23" xr3:uid="{1B74DDA5-2907-42F3-9DC5-60C9244530B7}" name="bill_id" dataDxfId="38"/>
    <tableColumn id="24" xr3:uid="{173EF6C4-CE8B-4C66-A014-198014177474}" name="bill_date" dataDxfId="37"/>
    <tableColumn id="25" xr3:uid="{82F61905-DCC9-4678-871A-6218B7295EF4}" name="amount" dataDxfId="36"/>
    <tableColumn id="26" xr3:uid="{65977903-9AE6-41AC-BADF-D438A90C8D10}" name="payment_method" dataDxfId="35"/>
    <tableColumn id="27" xr3:uid="{50E81E62-8FDE-4895-9BA5-659E68558588}" name="payment_status" dataDxfId="34"/>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F479-5740-45DE-9D33-25F491376DA8}">
  <dimension ref="A1:G201"/>
  <sheetViews>
    <sheetView workbookViewId="0">
      <selection activeCell="E4" sqref="E4"/>
    </sheetView>
  </sheetViews>
  <sheetFormatPr defaultRowHeight="14.5" x14ac:dyDescent="0.35"/>
  <cols>
    <col min="1" max="1" width="8.26953125" bestFit="1" customWidth="1"/>
    <col min="2" max="2" width="11.54296875" bestFit="1" customWidth="1"/>
    <col min="3" max="3" width="13.81640625" bestFit="1" customWidth="1"/>
    <col min="4" max="4" width="10.36328125" bestFit="1" customWidth="1"/>
    <col min="5" max="5" width="9.54296875" bestFit="1" customWidth="1"/>
    <col min="6" max="6" width="17.81640625" bestFit="1" customWidth="1"/>
    <col min="7" max="7" width="16.54296875" bestFit="1" customWidth="1"/>
  </cols>
  <sheetData>
    <row r="1" spans="1:7" x14ac:dyDescent="0.35">
      <c r="A1" t="s">
        <v>638</v>
      </c>
      <c r="B1" t="s">
        <v>1</v>
      </c>
      <c r="C1" t="s">
        <v>425</v>
      </c>
      <c r="D1" t="s">
        <v>639</v>
      </c>
      <c r="E1" t="s">
        <v>640</v>
      </c>
      <c r="F1" t="s">
        <v>641</v>
      </c>
      <c r="G1" t="s">
        <v>642</v>
      </c>
    </row>
    <row r="2" spans="1:7" x14ac:dyDescent="0.35">
      <c r="A2" t="s">
        <v>643</v>
      </c>
      <c r="B2" t="s">
        <v>8</v>
      </c>
      <c r="C2" t="s">
        <v>430</v>
      </c>
      <c r="D2" s="1">
        <v>45147</v>
      </c>
      <c r="E2">
        <v>3941.97</v>
      </c>
      <c r="F2" t="s">
        <v>644</v>
      </c>
      <c r="G2" t="s">
        <v>645</v>
      </c>
    </row>
    <row r="3" spans="1:7" x14ac:dyDescent="0.35">
      <c r="A3" t="s">
        <v>646</v>
      </c>
      <c r="B3" t="s">
        <v>13</v>
      </c>
      <c r="C3" t="s">
        <v>433</v>
      </c>
      <c r="D3" s="1">
        <v>45086</v>
      </c>
      <c r="E3">
        <v>4158.4399999999996</v>
      </c>
      <c r="F3" t="s">
        <v>644</v>
      </c>
      <c r="G3" t="s">
        <v>647</v>
      </c>
    </row>
    <row r="4" spans="1:7" x14ac:dyDescent="0.35">
      <c r="A4" t="s">
        <v>648</v>
      </c>
      <c r="B4" t="s">
        <v>17</v>
      </c>
      <c r="C4" t="s">
        <v>436</v>
      </c>
      <c r="D4" s="1">
        <v>45105</v>
      </c>
      <c r="E4">
        <v>3731.55</v>
      </c>
      <c r="F4" t="s">
        <v>644</v>
      </c>
      <c r="G4" t="s">
        <v>647</v>
      </c>
    </row>
    <row r="5" spans="1:7" x14ac:dyDescent="0.35">
      <c r="A5" t="s">
        <v>649</v>
      </c>
      <c r="B5" t="s">
        <v>21</v>
      </c>
      <c r="C5" t="s">
        <v>438</v>
      </c>
      <c r="D5" s="1">
        <v>45170</v>
      </c>
      <c r="E5">
        <v>4799.8599999999997</v>
      </c>
      <c r="F5" t="s">
        <v>644</v>
      </c>
      <c r="G5" t="s">
        <v>650</v>
      </c>
    </row>
    <row r="6" spans="1:7" x14ac:dyDescent="0.35">
      <c r="A6" t="s">
        <v>651</v>
      </c>
      <c r="B6" t="s">
        <v>24</v>
      </c>
      <c r="C6" t="s">
        <v>439</v>
      </c>
      <c r="D6" s="1">
        <v>45113</v>
      </c>
      <c r="E6">
        <v>582.04999999999995</v>
      </c>
      <c r="F6" t="s">
        <v>652</v>
      </c>
      <c r="G6" t="s">
        <v>645</v>
      </c>
    </row>
    <row r="7" spans="1:7" x14ac:dyDescent="0.35">
      <c r="A7" t="s">
        <v>653</v>
      </c>
      <c r="B7" t="s">
        <v>28</v>
      </c>
      <c r="C7" t="s">
        <v>441</v>
      </c>
      <c r="D7" s="1">
        <v>45096</v>
      </c>
      <c r="E7">
        <v>1381</v>
      </c>
      <c r="F7" t="s">
        <v>644</v>
      </c>
      <c r="G7" t="s">
        <v>645</v>
      </c>
    </row>
    <row r="8" spans="1:7" x14ac:dyDescent="0.35">
      <c r="A8" t="s">
        <v>654</v>
      </c>
      <c r="B8" t="s">
        <v>31</v>
      </c>
      <c r="C8" t="s">
        <v>442</v>
      </c>
      <c r="D8" s="1">
        <v>45025</v>
      </c>
      <c r="E8">
        <v>534.03</v>
      </c>
      <c r="F8" t="s">
        <v>655</v>
      </c>
      <c r="G8" t="s">
        <v>650</v>
      </c>
    </row>
    <row r="9" spans="1:7" x14ac:dyDescent="0.35">
      <c r="A9" t="s">
        <v>656</v>
      </c>
      <c r="B9" t="s">
        <v>34</v>
      </c>
      <c r="C9" t="s">
        <v>443</v>
      </c>
      <c r="D9" s="1">
        <v>45070</v>
      </c>
      <c r="E9">
        <v>3413.64</v>
      </c>
      <c r="F9" t="s">
        <v>655</v>
      </c>
      <c r="G9" t="s">
        <v>650</v>
      </c>
    </row>
    <row r="10" spans="1:7" x14ac:dyDescent="0.35">
      <c r="A10" t="s">
        <v>657</v>
      </c>
      <c r="B10" t="s">
        <v>37</v>
      </c>
      <c r="C10" t="s">
        <v>445</v>
      </c>
      <c r="D10" s="1">
        <v>44990</v>
      </c>
      <c r="E10">
        <v>4541.1400000000003</v>
      </c>
      <c r="F10" t="s">
        <v>652</v>
      </c>
      <c r="G10" t="s">
        <v>647</v>
      </c>
    </row>
    <row r="11" spans="1:7" x14ac:dyDescent="0.35">
      <c r="A11" t="s">
        <v>658</v>
      </c>
      <c r="B11" t="s">
        <v>40</v>
      </c>
      <c r="C11" t="s">
        <v>446</v>
      </c>
      <c r="D11" s="1">
        <v>44939</v>
      </c>
      <c r="E11">
        <v>1595.67</v>
      </c>
      <c r="F11" t="s">
        <v>655</v>
      </c>
      <c r="G11" t="s">
        <v>647</v>
      </c>
    </row>
    <row r="12" spans="1:7" x14ac:dyDescent="0.35">
      <c r="A12" t="s">
        <v>659</v>
      </c>
      <c r="B12" t="s">
        <v>43</v>
      </c>
      <c r="C12" t="s">
        <v>447</v>
      </c>
      <c r="D12" s="1">
        <v>45242</v>
      </c>
      <c r="E12">
        <v>4671.66</v>
      </c>
      <c r="F12" t="s">
        <v>655</v>
      </c>
      <c r="G12" t="s">
        <v>650</v>
      </c>
    </row>
    <row r="13" spans="1:7" x14ac:dyDescent="0.35">
      <c r="A13" t="s">
        <v>660</v>
      </c>
      <c r="B13" t="s">
        <v>45</v>
      </c>
      <c r="C13" t="s">
        <v>448</v>
      </c>
      <c r="D13" s="1">
        <v>45053</v>
      </c>
      <c r="E13">
        <v>771.2</v>
      </c>
      <c r="F13" t="s">
        <v>644</v>
      </c>
      <c r="G13" t="s">
        <v>645</v>
      </c>
    </row>
    <row r="14" spans="1:7" x14ac:dyDescent="0.35">
      <c r="A14" t="s">
        <v>661</v>
      </c>
      <c r="B14" t="s">
        <v>47</v>
      </c>
      <c r="C14" t="s">
        <v>449</v>
      </c>
      <c r="D14" s="1">
        <v>45154</v>
      </c>
      <c r="E14">
        <v>4704.96</v>
      </c>
      <c r="F14" t="s">
        <v>655</v>
      </c>
      <c r="G14" t="s">
        <v>647</v>
      </c>
    </row>
    <row r="15" spans="1:7" x14ac:dyDescent="0.35">
      <c r="A15" t="s">
        <v>662</v>
      </c>
      <c r="B15" t="s">
        <v>50</v>
      </c>
      <c r="C15" t="s">
        <v>450</v>
      </c>
      <c r="D15" s="1">
        <v>45071</v>
      </c>
      <c r="E15">
        <v>2082.3000000000002</v>
      </c>
      <c r="F15" t="s">
        <v>652</v>
      </c>
      <c r="G15" t="s">
        <v>647</v>
      </c>
    </row>
    <row r="16" spans="1:7" x14ac:dyDescent="0.35">
      <c r="A16" t="s">
        <v>663</v>
      </c>
      <c r="B16" t="s">
        <v>52</v>
      </c>
      <c r="C16" t="s">
        <v>451</v>
      </c>
      <c r="D16" s="1">
        <v>44941</v>
      </c>
      <c r="E16">
        <v>956.39</v>
      </c>
      <c r="F16" t="s">
        <v>644</v>
      </c>
      <c r="G16" t="s">
        <v>645</v>
      </c>
    </row>
    <row r="17" spans="1:7" x14ac:dyDescent="0.35">
      <c r="A17" t="s">
        <v>664</v>
      </c>
      <c r="B17" t="s">
        <v>34</v>
      </c>
      <c r="C17" t="s">
        <v>452</v>
      </c>
      <c r="D17" s="1">
        <v>45107</v>
      </c>
      <c r="E17">
        <v>2686.42</v>
      </c>
      <c r="F17" t="s">
        <v>644</v>
      </c>
      <c r="G17" t="s">
        <v>647</v>
      </c>
    </row>
    <row r="18" spans="1:7" x14ac:dyDescent="0.35">
      <c r="A18" t="s">
        <v>665</v>
      </c>
      <c r="B18" t="s">
        <v>56</v>
      </c>
      <c r="C18" t="s">
        <v>453</v>
      </c>
      <c r="D18" s="1">
        <v>45118</v>
      </c>
      <c r="E18">
        <v>1655.49</v>
      </c>
      <c r="F18" t="s">
        <v>652</v>
      </c>
      <c r="G18" t="s">
        <v>645</v>
      </c>
    </row>
    <row r="19" spans="1:7" x14ac:dyDescent="0.35">
      <c r="A19" t="s">
        <v>666</v>
      </c>
      <c r="B19" t="s">
        <v>43</v>
      </c>
      <c r="C19" t="s">
        <v>454</v>
      </c>
      <c r="D19" s="1">
        <v>45244</v>
      </c>
      <c r="E19">
        <v>1781.93</v>
      </c>
      <c r="F19" t="s">
        <v>644</v>
      </c>
      <c r="G19" t="s">
        <v>645</v>
      </c>
    </row>
    <row r="20" spans="1:7" x14ac:dyDescent="0.35">
      <c r="A20" t="s">
        <v>667</v>
      </c>
      <c r="B20" t="s">
        <v>45</v>
      </c>
      <c r="C20" t="s">
        <v>455</v>
      </c>
      <c r="D20" s="1">
        <v>44963</v>
      </c>
      <c r="E20">
        <v>1882.8</v>
      </c>
      <c r="F20" t="s">
        <v>644</v>
      </c>
      <c r="G20" t="s">
        <v>645</v>
      </c>
    </row>
    <row r="21" spans="1:7" x14ac:dyDescent="0.35">
      <c r="A21" t="s">
        <v>668</v>
      </c>
      <c r="B21" t="s">
        <v>61</v>
      </c>
      <c r="C21" t="s">
        <v>457</v>
      </c>
      <c r="D21" s="1">
        <v>45265</v>
      </c>
      <c r="E21">
        <v>4113.62</v>
      </c>
      <c r="F21" t="s">
        <v>652</v>
      </c>
      <c r="G21" t="s">
        <v>650</v>
      </c>
    </row>
    <row r="22" spans="1:7" x14ac:dyDescent="0.35">
      <c r="A22" t="s">
        <v>669</v>
      </c>
      <c r="B22" t="s">
        <v>63</v>
      </c>
      <c r="C22" t="s">
        <v>458</v>
      </c>
      <c r="D22" s="1">
        <v>45040</v>
      </c>
      <c r="E22">
        <v>2926.23</v>
      </c>
      <c r="F22" t="s">
        <v>644</v>
      </c>
      <c r="G22" t="s">
        <v>650</v>
      </c>
    </row>
    <row r="23" spans="1:7" x14ac:dyDescent="0.35">
      <c r="A23" t="s">
        <v>670</v>
      </c>
      <c r="B23" t="s">
        <v>40</v>
      </c>
      <c r="C23" t="s">
        <v>459</v>
      </c>
      <c r="D23" s="1">
        <v>45244</v>
      </c>
      <c r="E23">
        <v>1900.88</v>
      </c>
      <c r="F23" t="s">
        <v>652</v>
      </c>
      <c r="G23" t="s">
        <v>650</v>
      </c>
    </row>
    <row r="24" spans="1:7" x14ac:dyDescent="0.35">
      <c r="A24" t="s">
        <v>671</v>
      </c>
      <c r="B24" t="s">
        <v>66</v>
      </c>
      <c r="C24" t="s">
        <v>460</v>
      </c>
      <c r="D24" s="1">
        <v>45055</v>
      </c>
      <c r="E24">
        <v>3246.5</v>
      </c>
      <c r="F24" t="s">
        <v>652</v>
      </c>
      <c r="G24" t="s">
        <v>645</v>
      </c>
    </row>
    <row r="25" spans="1:7" x14ac:dyDescent="0.35">
      <c r="A25" t="s">
        <v>672</v>
      </c>
      <c r="B25" t="s">
        <v>68</v>
      </c>
      <c r="C25" t="s">
        <v>461</v>
      </c>
      <c r="D25" s="1">
        <v>45098</v>
      </c>
      <c r="E25">
        <v>3722.68</v>
      </c>
      <c r="F25" t="s">
        <v>655</v>
      </c>
      <c r="G25" t="s">
        <v>645</v>
      </c>
    </row>
    <row r="26" spans="1:7" x14ac:dyDescent="0.35">
      <c r="A26" t="s">
        <v>673</v>
      </c>
      <c r="B26" t="s">
        <v>70</v>
      </c>
      <c r="C26" t="s">
        <v>462</v>
      </c>
      <c r="D26" s="1">
        <v>44982</v>
      </c>
      <c r="E26">
        <v>1726.81</v>
      </c>
      <c r="F26" t="s">
        <v>655</v>
      </c>
      <c r="G26" t="s">
        <v>650</v>
      </c>
    </row>
    <row r="27" spans="1:7" x14ac:dyDescent="0.35">
      <c r="A27" t="s">
        <v>674</v>
      </c>
      <c r="B27" t="s">
        <v>72</v>
      </c>
      <c r="C27" t="s">
        <v>463</v>
      </c>
      <c r="D27" s="1">
        <v>45002</v>
      </c>
      <c r="E27">
        <v>2360.9699999999998</v>
      </c>
      <c r="F27" t="s">
        <v>644</v>
      </c>
      <c r="G27" t="s">
        <v>647</v>
      </c>
    </row>
    <row r="28" spans="1:7" x14ac:dyDescent="0.35">
      <c r="A28" t="s">
        <v>675</v>
      </c>
      <c r="B28" t="s">
        <v>40</v>
      </c>
      <c r="C28" t="s">
        <v>464</v>
      </c>
      <c r="D28" s="1">
        <v>45244</v>
      </c>
      <c r="E28">
        <v>1048.49</v>
      </c>
      <c r="F28" t="s">
        <v>644</v>
      </c>
      <c r="G28" t="s">
        <v>645</v>
      </c>
    </row>
    <row r="29" spans="1:7" x14ac:dyDescent="0.35">
      <c r="A29" t="s">
        <v>676</v>
      </c>
      <c r="B29" t="s">
        <v>50</v>
      </c>
      <c r="C29" t="s">
        <v>465</v>
      </c>
      <c r="D29" s="1">
        <v>45228</v>
      </c>
      <c r="E29">
        <v>1315.17</v>
      </c>
      <c r="F29" t="s">
        <v>652</v>
      </c>
      <c r="G29" t="s">
        <v>647</v>
      </c>
    </row>
    <row r="30" spans="1:7" x14ac:dyDescent="0.35">
      <c r="A30" t="s">
        <v>677</v>
      </c>
      <c r="B30" t="s">
        <v>34</v>
      </c>
      <c r="C30" t="s">
        <v>466</v>
      </c>
      <c r="D30" s="1">
        <v>45102</v>
      </c>
      <c r="E30">
        <v>3565.03</v>
      </c>
      <c r="F30" t="s">
        <v>644</v>
      </c>
      <c r="G30" t="s">
        <v>647</v>
      </c>
    </row>
    <row r="31" spans="1:7" x14ac:dyDescent="0.35">
      <c r="A31" t="s">
        <v>678</v>
      </c>
      <c r="B31" t="s">
        <v>52</v>
      </c>
      <c r="C31" t="s">
        <v>467</v>
      </c>
      <c r="D31" s="1">
        <v>45167</v>
      </c>
      <c r="E31">
        <v>1316.47</v>
      </c>
      <c r="F31" t="s">
        <v>652</v>
      </c>
      <c r="G31" t="s">
        <v>645</v>
      </c>
    </row>
    <row r="32" spans="1:7" x14ac:dyDescent="0.35">
      <c r="A32" t="s">
        <v>679</v>
      </c>
      <c r="B32" t="s">
        <v>52</v>
      </c>
      <c r="C32" t="s">
        <v>468</v>
      </c>
      <c r="D32" s="1">
        <v>45020</v>
      </c>
      <c r="E32">
        <v>2863.24</v>
      </c>
      <c r="F32" t="s">
        <v>652</v>
      </c>
      <c r="G32" t="s">
        <v>645</v>
      </c>
    </row>
    <row r="33" spans="1:7" x14ac:dyDescent="0.35">
      <c r="A33" t="s">
        <v>680</v>
      </c>
      <c r="B33" t="s">
        <v>17</v>
      </c>
      <c r="C33" t="s">
        <v>469</v>
      </c>
      <c r="D33" s="1">
        <v>45236</v>
      </c>
      <c r="E33">
        <v>3690.71</v>
      </c>
      <c r="F33" t="s">
        <v>644</v>
      </c>
      <c r="G33" t="s">
        <v>647</v>
      </c>
    </row>
    <row r="34" spans="1:7" x14ac:dyDescent="0.35">
      <c r="A34" t="s">
        <v>681</v>
      </c>
      <c r="B34" t="s">
        <v>81</v>
      </c>
      <c r="C34" t="s">
        <v>470</v>
      </c>
      <c r="D34" s="1">
        <v>45192</v>
      </c>
      <c r="E34">
        <v>980.95</v>
      </c>
      <c r="F34" t="s">
        <v>652</v>
      </c>
      <c r="G34" t="s">
        <v>647</v>
      </c>
    </row>
    <row r="35" spans="1:7" x14ac:dyDescent="0.35">
      <c r="A35" t="s">
        <v>682</v>
      </c>
      <c r="B35" t="s">
        <v>37</v>
      </c>
      <c r="C35" t="s">
        <v>471</v>
      </c>
      <c r="D35" s="1">
        <v>45090</v>
      </c>
      <c r="E35">
        <v>3052.9</v>
      </c>
      <c r="F35" t="s">
        <v>655</v>
      </c>
      <c r="G35" t="s">
        <v>650</v>
      </c>
    </row>
    <row r="36" spans="1:7" x14ac:dyDescent="0.35">
      <c r="A36" t="s">
        <v>683</v>
      </c>
      <c r="B36" t="s">
        <v>84</v>
      </c>
      <c r="C36" t="s">
        <v>472</v>
      </c>
      <c r="D36" s="1">
        <v>45034</v>
      </c>
      <c r="E36">
        <v>1654.53</v>
      </c>
      <c r="F36" t="s">
        <v>644</v>
      </c>
      <c r="G36" t="s">
        <v>650</v>
      </c>
    </row>
    <row r="37" spans="1:7" x14ac:dyDescent="0.35">
      <c r="A37" t="s">
        <v>684</v>
      </c>
      <c r="B37" t="s">
        <v>86</v>
      </c>
      <c r="C37" t="s">
        <v>473</v>
      </c>
      <c r="D37" s="1">
        <v>44934</v>
      </c>
      <c r="E37">
        <v>4833.17</v>
      </c>
      <c r="F37" t="s">
        <v>655</v>
      </c>
      <c r="G37" t="s">
        <v>645</v>
      </c>
    </row>
    <row r="38" spans="1:7" x14ac:dyDescent="0.35">
      <c r="A38" t="s">
        <v>685</v>
      </c>
      <c r="B38" t="s">
        <v>70</v>
      </c>
      <c r="C38" t="s">
        <v>474</v>
      </c>
      <c r="D38" s="1">
        <v>45013</v>
      </c>
      <c r="E38">
        <v>2675.96</v>
      </c>
      <c r="F38" t="s">
        <v>644</v>
      </c>
      <c r="G38" t="s">
        <v>650</v>
      </c>
    </row>
    <row r="39" spans="1:7" x14ac:dyDescent="0.35">
      <c r="A39" t="s">
        <v>686</v>
      </c>
      <c r="B39" t="s">
        <v>56</v>
      </c>
      <c r="C39" t="s">
        <v>475</v>
      </c>
      <c r="D39" s="1">
        <v>44980</v>
      </c>
      <c r="E39">
        <v>4126.97</v>
      </c>
      <c r="F39" t="s">
        <v>652</v>
      </c>
      <c r="G39" t="s">
        <v>650</v>
      </c>
    </row>
    <row r="40" spans="1:7" x14ac:dyDescent="0.35">
      <c r="A40" t="s">
        <v>687</v>
      </c>
      <c r="B40" t="s">
        <v>90</v>
      </c>
      <c r="C40" t="s">
        <v>476</v>
      </c>
      <c r="D40" s="1">
        <v>45033</v>
      </c>
      <c r="E40">
        <v>2976.02</v>
      </c>
      <c r="F40" t="s">
        <v>644</v>
      </c>
      <c r="G40" t="s">
        <v>650</v>
      </c>
    </row>
    <row r="41" spans="1:7" x14ac:dyDescent="0.35">
      <c r="A41" t="s">
        <v>688</v>
      </c>
      <c r="B41" t="s">
        <v>92</v>
      </c>
      <c r="C41" t="s">
        <v>477</v>
      </c>
      <c r="D41" s="1">
        <v>45012</v>
      </c>
      <c r="E41">
        <v>695.36</v>
      </c>
      <c r="F41" t="s">
        <v>655</v>
      </c>
      <c r="G41" t="s">
        <v>650</v>
      </c>
    </row>
    <row r="42" spans="1:7" x14ac:dyDescent="0.35">
      <c r="A42" t="s">
        <v>689</v>
      </c>
      <c r="B42" t="s">
        <v>40</v>
      </c>
      <c r="C42" t="s">
        <v>478</v>
      </c>
      <c r="D42" s="1">
        <v>44927</v>
      </c>
      <c r="E42">
        <v>3349.18</v>
      </c>
      <c r="F42" t="s">
        <v>652</v>
      </c>
      <c r="G42" t="s">
        <v>647</v>
      </c>
    </row>
    <row r="43" spans="1:7" x14ac:dyDescent="0.35">
      <c r="A43" t="s">
        <v>690</v>
      </c>
      <c r="B43" t="s">
        <v>84</v>
      </c>
      <c r="C43" t="s">
        <v>479</v>
      </c>
      <c r="D43" s="1">
        <v>45006</v>
      </c>
      <c r="E43">
        <v>4781.32</v>
      </c>
      <c r="F43" t="s">
        <v>644</v>
      </c>
      <c r="G43" t="s">
        <v>645</v>
      </c>
    </row>
    <row r="44" spans="1:7" x14ac:dyDescent="0.35">
      <c r="A44" t="s">
        <v>691</v>
      </c>
      <c r="B44" t="s">
        <v>8</v>
      </c>
      <c r="C44" t="s">
        <v>480</v>
      </c>
      <c r="D44" s="1">
        <v>45014</v>
      </c>
      <c r="E44">
        <v>3207.25</v>
      </c>
      <c r="F44" t="s">
        <v>644</v>
      </c>
      <c r="G44" t="s">
        <v>650</v>
      </c>
    </row>
    <row r="45" spans="1:7" x14ac:dyDescent="0.35">
      <c r="A45" t="s">
        <v>692</v>
      </c>
      <c r="B45" t="s">
        <v>97</v>
      </c>
      <c r="C45" t="s">
        <v>481</v>
      </c>
      <c r="D45" s="1">
        <v>45189</v>
      </c>
      <c r="E45">
        <v>4186.3500000000004</v>
      </c>
      <c r="F45" t="s">
        <v>644</v>
      </c>
      <c r="G45" t="s">
        <v>647</v>
      </c>
    </row>
    <row r="46" spans="1:7" x14ac:dyDescent="0.35">
      <c r="A46" t="s">
        <v>693</v>
      </c>
      <c r="B46" t="s">
        <v>92</v>
      </c>
      <c r="C46" t="s">
        <v>482</v>
      </c>
      <c r="D46" s="1">
        <v>45197</v>
      </c>
      <c r="E46">
        <v>4478.93</v>
      </c>
      <c r="F46" t="s">
        <v>655</v>
      </c>
      <c r="G46" t="s">
        <v>647</v>
      </c>
    </row>
    <row r="47" spans="1:7" x14ac:dyDescent="0.35">
      <c r="A47" t="s">
        <v>694</v>
      </c>
      <c r="B47" t="s">
        <v>100</v>
      </c>
      <c r="C47" t="s">
        <v>483</v>
      </c>
      <c r="D47" s="1">
        <v>45280</v>
      </c>
      <c r="E47">
        <v>1526.36</v>
      </c>
      <c r="F47" t="s">
        <v>655</v>
      </c>
      <c r="G47" t="s">
        <v>647</v>
      </c>
    </row>
    <row r="48" spans="1:7" x14ac:dyDescent="0.35">
      <c r="A48" t="s">
        <v>695</v>
      </c>
      <c r="B48" t="s">
        <v>13</v>
      </c>
      <c r="C48" t="s">
        <v>484</v>
      </c>
      <c r="D48" s="1">
        <v>45048</v>
      </c>
      <c r="E48">
        <v>1454.2</v>
      </c>
      <c r="F48" t="s">
        <v>644</v>
      </c>
      <c r="G48" t="s">
        <v>650</v>
      </c>
    </row>
    <row r="49" spans="1:7" x14ac:dyDescent="0.35">
      <c r="A49" t="s">
        <v>696</v>
      </c>
      <c r="B49" t="s">
        <v>31</v>
      </c>
      <c r="C49" t="s">
        <v>485</v>
      </c>
      <c r="D49" s="1">
        <v>44942</v>
      </c>
      <c r="E49">
        <v>3249.41</v>
      </c>
      <c r="F49" t="s">
        <v>652</v>
      </c>
      <c r="G49" t="s">
        <v>650</v>
      </c>
    </row>
    <row r="50" spans="1:7" x14ac:dyDescent="0.35">
      <c r="A50" t="s">
        <v>697</v>
      </c>
      <c r="B50" t="s">
        <v>40</v>
      </c>
      <c r="C50" t="s">
        <v>486</v>
      </c>
      <c r="D50" s="1">
        <v>45046</v>
      </c>
      <c r="E50">
        <v>2349.63</v>
      </c>
      <c r="F50" t="s">
        <v>652</v>
      </c>
      <c r="G50" t="s">
        <v>645</v>
      </c>
    </row>
    <row r="51" spans="1:7" x14ac:dyDescent="0.35">
      <c r="A51" t="s">
        <v>698</v>
      </c>
      <c r="B51" t="s">
        <v>28</v>
      </c>
      <c r="C51" t="s">
        <v>487</v>
      </c>
      <c r="D51" s="1">
        <v>45154</v>
      </c>
      <c r="E51">
        <v>4279.38</v>
      </c>
      <c r="F51" t="s">
        <v>655</v>
      </c>
      <c r="G51" t="s">
        <v>650</v>
      </c>
    </row>
    <row r="52" spans="1:7" x14ac:dyDescent="0.35">
      <c r="A52" t="s">
        <v>699</v>
      </c>
      <c r="B52" t="s">
        <v>106</v>
      </c>
      <c r="C52" t="s">
        <v>488</v>
      </c>
      <c r="D52" s="1">
        <v>44961</v>
      </c>
      <c r="E52">
        <v>4550.1000000000004</v>
      </c>
      <c r="F52" t="s">
        <v>652</v>
      </c>
      <c r="G52" t="s">
        <v>650</v>
      </c>
    </row>
    <row r="53" spans="1:7" x14ac:dyDescent="0.35">
      <c r="A53" t="s">
        <v>700</v>
      </c>
      <c r="B53" t="s">
        <v>34</v>
      </c>
      <c r="C53" t="s">
        <v>489</v>
      </c>
      <c r="D53" s="1">
        <v>45119</v>
      </c>
      <c r="E53">
        <v>2090.4</v>
      </c>
      <c r="F53" t="s">
        <v>655</v>
      </c>
      <c r="G53" t="s">
        <v>647</v>
      </c>
    </row>
    <row r="54" spans="1:7" x14ac:dyDescent="0.35">
      <c r="A54" t="s">
        <v>701</v>
      </c>
      <c r="B54" t="s">
        <v>109</v>
      </c>
      <c r="C54" t="s">
        <v>490</v>
      </c>
      <c r="D54" s="1">
        <v>44969</v>
      </c>
      <c r="E54">
        <v>1565.92</v>
      </c>
      <c r="F54" t="s">
        <v>644</v>
      </c>
      <c r="G54" t="s">
        <v>645</v>
      </c>
    </row>
    <row r="55" spans="1:7" x14ac:dyDescent="0.35">
      <c r="A55" t="s">
        <v>702</v>
      </c>
      <c r="B55" t="s">
        <v>34</v>
      </c>
      <c r="C55" t="s">
        <v>491</v>
      </c>
      <c r="D55" s="1">
        <v>45276</v>
      </c>
      <c r="E55">
        <v>4012.36</v>
      </c>
      <c r="F55" t="s">
        <v>655</v>
      </c>
      <c r="G55" t="s">
        <v>650</v>
      </c>
    </row>
    <row r="56" spans="1:7" x14ac:dyDescent="0.35">
      <c r="A56" t="s">
        <v>703</v>
      </c>
      <c r="B56" t="s">
        <v>112</v>
      </c>
      <c r="C56" t="s">
        <v>492</v>
      </c>
      <c r="D56" s="1">
        <v>45205</v>
      </c>
      <c r="E56">
        <v>1736.63</v>
      </c>
      <c r="F56" t="s">
        <v>655</v>
      </c>
      <c r="G56" t="s">
        <v>650</v>
      </c>
    </row>
    <row r="57" spans="1:7" x14ac:dyDescent="0.35">
      <c r="A57" t="s">
        <v>704</v>
      </c>
      <c r="B57" t="s">
        <v>68</v>
      </c>
      <c r="C57" t="s">
        <v>493</v>
      </c>
      <c r="D57" s="1">
        <v>44928</v>
      </c>
      <c r="E57">
        <v>4201.76</v>
      </c>
      <c r="F57" t="s">
        <v>644</v>
      </c>
      <c r="G57" t="s">
        <v>647</v>
      </c>
    </row>
    <row r="58" spans="1:7" x14ac:dyDescent="0.35">
      <c r="A58" t="s">
        <v>705</v>
      </c>
      <c r="B58" t="s">
        <v>63</v>
      </c>
      <c r="C58" t="s">
        <v>494</v>
      </c>
      <c r="D58" s="1">
        <v>45031</v>
      </c>
      <c r="E58">
        <v>2406.8200000000002</v>
      </c>
      <c r="F58" t="s">
        <v>652</v>
      </c>
      <c r="G58" t="s">
        <v>647</v>
      </c>
    </row>
    <row r="59" spans="1:7" x14ac:dyDescent="0.35">
      <c r="A59" t="s">
        <v>706</v>
      </c>
      <c r="B59" t="s">
        <v>13</v>
      </c>
      <c r="C59" t="s">
        <v>495</v>
      </c>
      <c r="D59" s="1">
        <v>45055</v>
      </c>
      <c r="E59">
        <v>3503.97</v>
      </c>
      <c r="F59" t="s">
        <v>655</v>
      </c>
      <c r="G59" t="s">
        <v>650</v>
      </c>
    </row>
    <row r="60" spans="1:7" x14ac:dyDescent="0.35">
      <c r="A60" t="s">
        <v>707</v>
      </c>
      <c r="B60" t="s">
        <v>117</v>
      </c>
      <c r="C60" t="s">
        <v>496</v>
      </c>
      <c r="D60" s="1">
        <v>44994</v>
      </c>
      <c r="E60">
        <v>929.91</v>
      </c>
      <c r="F60" t="s">
        <v>655</v>
      </c>
      <c r="G60" t="s">
        <v>645</v>
      </c>
    </row>
    <row r="61" spans="1:7" x14ac:dyDescent="0.35">
      <c r="A61" t="s">
        <v>708</v>
      </c>
      <c r="B61" t="s">
        <v>119</v>
      </c>
      <c r="C61" t="s">
        <v>497</v>
      </c>
      <c r="D61" s="1">
        <v>45252</v>
      </c>
      <c r="E61">
        <v>3307.37</v>
      </c>
      <c r="F61" t="s">
        <v>644</v>
      </c>
      <c r="G61" t="s">
        <v>645</v>
      </c>
    </row>
    <row r="62" spans="1:7" x14ac:dyDescent="0.35">
      <c r="A62" t="s">
        <v>709</v>
      </c>
      <c r="B62" t="s">
        <v>109</v>
      </c>
      <c r="C62" t="s">
        <v>498</v>
      </c>
      <c r="D62" s="1">
        <v>44941</v>
      </c>
      <c r="E62">
        <v>2532.9499999999998</v>
      </c>
      <c r="F62" t="s">
        <v>652</v>
      </c>
      <c r="G62" t="s">
        <v>647</v>
      </c>
    </row>
    <row r="63" spans="1:7" x14ac:dyDescent="0.35">
      <c r="A63" t="s">
        <v>710</v>
      </c>
      <c r="B63" t="s">
        <v>50</v>
      </c>
      <c r="C63" t="s">
        <v>499</v>
      </c>
      <c r="D63" s="1">
        <v>45091</v>
      </c>
      <c r="E63">
        <v>3139.74</v>
      </c>
      <c r="F63" t="s">
        <v>655</v>
      </c>
      <c r="G63" t="s">
        <v>647</v>
      </c>
    </row>
    <row r="64" spans="1:7" x14ac:dyDescent="0.35">
      <c r="A64" t="s">
        <v>711</v>
      </c>
      <c r="B64" t="s">
        <v>123</v>
      </c>
      <c r="C64" t="s">
        <v>500</v>
      </c>
      <c r="D64" s="1">
        <v>45106</v>
      </c>
      <c r="E64">
        <v>1256.06</v>
      </c>
      <c r="F64" t="s">
        <v>644</v>
      </c>
      <c r="G64" t="s">
        <v>650</v>
      </c>
    </row>
    <row r="65" spans="1:7" x14ac:dyDescent="0.35">
      <c r="A65" t="s">
        <v>712</v>
      </c>
      <c r="B65" t="s">
        <v>125</v>
      </c>
      <c r="C65" t="s">
        <v>501</v>
      </c>
      <c r="D65" s="1">
        <v>45077</v>
      </c>
      <c r="E65">
        <v>3815.93</v>
      </c>
      <c r="F65" t="s">
        <v>655</v>
      </c>
      <c r="G65" t="s">
        <v>647</v>
      </c>
    </row>
    <row r="66" spans="1:7" x14ac:dyDescent="0.35">
      <c r="A66" t="s">
        <v>713</v>
      </c>
      <c r="B66" t="s">
        <v>86</v>
      </c>
      <c r="C66" t="s">
        <v>502</v>
      </c>
      <c r="D66" s="1">
        <v>45040</v>
      </c>
      <c r="E66">
        <v>4382.59</v>
      </c>
      <c r="F66" t="s">
        <v>644</v>
      </c>
      <c r="G66" t="s">
        <v>650</v>
      </c>
    </row>
    <row r="67" spans="1:7" x14ac:dyDescent="0.35">
      <c r="A67" t="s">
        <v>714</v>
      </c>
      <c r="B67" t="s">
        <v>86</v>
      </c>
      <c r="C67" t="s">
        <v>503</v>
      </c>
      <c r="D67" s="1">
        <v>45056</v>
      </c>
      <c r="E67">
        <v>1475.33</v>
      </c>
      <c r="F67" t="s">
        <v>652</v>
      </c>
      <c r="G67" t="s">
        <v>645</v>
      </c>
    </row>
    <row r="68" spans="1:7" x14ac:dyDescent="0.35">
      <c r="A68" t="s">
        <v>715</v>
      </c>
      <c r="B68" t="s">
        <v>129</v>
      </c>
      <c r="C68" t="s">
        <v>504</v>
      </c>
      <c r="D68" s="1">
        <v>45148</v>
      </c>
      <c r="E68">
        <v>930.72</v>
      </c>
      <c r="F68" t="s">
        <v>652</v>
      </c>
      <c r="G68" t="s">
        <v>645</v>
      </c>
    </row>
    <row r="69" spans="1:7" x14ac:dyDescent="0.35">
      <c r="A69" t="s">
        <v>716</v>
      </c>
      <c r="B69" t="s">
        <v>56</v>
      </c>
      <c r="C69" t="s">
        <v>505</v>
      </c>
      <c r="D69" s="1">
        <v>44999</v>
      </c>
      <c r="E69">
        <v>606.37</v>
      </c>
      <c r="F69" t="s">
        <v>652</v>
      </c>
      <c r="G69" t="s">
        <v>650</v>
      </c>
    </row>
    <row r="70" spans="1:7" x14ac:dyDescent="0.35">
      <c r="A70" t="s">
        <v>717</v>
      </c>
      <c r="B70" t="s">
        <v>50</v>
      </c>
      <c r="C70" t="s">
        <v>506</v>
      </c>
      <c r="D70" s="1">
        <v>45014</v>
      </c>
      <c r="E70">
        <v>3388.87</v>
      </c>
      <c r="F70" t="s">
        <v>652</v>
      </c>
      <c r="G70" t="s">
        <v>647</v>
      </c>
    </row>
    <row r="71" spans="1:7" x14ac:dyDescent="0.35">
      <c r="A71" t="s">
        <v>718</v>
      </c>
      <c r="B71" t="s">
        <v>47</v>
      </c>
      <c r="C71" t="s">
        <v>507</v>
      </c>
      <c r="D71" s="1">
        <v>45164</v>
      </c>
      <c r="E71">
        <v>3231.92</v>
      </c>
      <c r="F71" t="s">
        <v>655</v>
      </c>
      <c r="G71" t="s">
        <v>645</v>
      </c>
    </row>
    <row r="72" spans="1:7" x14ac:dyDescent="0.35">
      <c r="A72" t="s">
        <v>719</v>
      </c>
      <c r="B72" t="s">
        <v>31</v>
      </c>
      <c r="C72" t="s">
        <v>508</v>
      </c>
      <c r="D72" s="1">
        <v>44952</v>
      </c>
      <c r="E72">
        <v>2960.14</v>
      </c>
      <c r="F72" t="s">
        <v>655</v>
      </c>
      <c r="G72" t="s">
        <v>647</v>
      </c>
    </row>
    <row r="73" spans="1:7" x14ac:dyDescent="0.35">
      <c r="A73" t="s">
        <v>720</v>
      </c>
      <c r="B73" t="s">
        <v>86</v>
      </c>
      <c r="C73" t="s">
        <v>509</v>
      </c>
      <c r="D73" s="1">
        <v>45089</v>
      </c>
      <c r="E73">
        <v>1543.76</v>
      </c>
      <c r="F73" t="s">
        <v>652</v>
      </c>
      <c r="G73" t="s">
        <v>645</v>
      </c>
    </row>
    <row r="74" spans="1:7" x14ac:dyDescent="0.35">
      <c r="A74" t="s">
        <v>721</v>
      </c>
      <c r="B74" t="s">
        <v>24</v>
      </c>
      <c r="C74" t="s">
        <v>510</v>
      </c>
      <c r="D74" s="1">
        <v>45284</v>
      </c>
      <c r="E74">
        <v>2259.08</v>
      </c>
      <c r="F74" t="s">
        <v>652</v>
      </c>
      <c r="G74" t="s">
        <v>650</v>
      </c>
    </row>
    <row r="75" spans="1:7" x14ac:dyDescent="0.35">
      <c r="A75" t="s">
        <v>722</v>
      </c>
      <c r="B75" t="s">
        <v>92</v>
      </c>
      <c r="C75" t="s">
        <v>511</v>
      </c>
      <c r="D75" s="1">
        <v>45130</v>
      </c>
      <c r="E75">
        <v>3175.14</v>
      </c>
      <c r="F75" t="s">
        <v>652</v>
      </c>
      <c r="G75" t="s">
        <v>650</v>
      </c>
    </row>
    <row r="76" spans="1:7" x14ac:dyDescent="0.35">
      <c r="A76" t="s">
        <v>723</v>
      </c>
      <c r="B76" t="s">
        <v>129</v>
      </c>
      <c r="C76" t="s">
        <v>512</v>
      </c>
      <c r="D76" s="1">
        <v>45054</v>
      </c>
      <c r="E76">
        <v>2735.45</v>
      </c>
      <c r="F76" t="s">
        <v>655</v>
      </c>
      <c r="G76" t="s">
        <v>650</v>
      </c>
    </row>
    <row r="77" spans="1:7" x14ac:dyDescent="0.35">
      <c r="A77" t="s">
        <v>724</v>
      </c>
      <c r="B77" t="s">
        <v>139</v>
      </c>
      <c r="C77" t="s">
        <v>513</v>
      </c>
      <c r="D77" s="1">
        <v>45257</v>
      </c>
      <c r="E77">
        <v>4945.03</v>
      </c>
      <c r="F77" t="s">
        <v>652</v>
      </c>
      <c r="G77" t="s">
        <v>645</v>
      </c>
    </row>
    <row r="78" spans="1:7" x14ac:dyDescent="0.35">
      <c r="A78" t="s">
        <v>725</v>
      </c>
      <c r="B78" t="s">
        <v>45</v>
      </c>
      <c r="C78" t="s">
        <v>514</v>
      </c>
      <c r="D78" s="1">
        <v>45274</v>
      </c>
      <c r="E78">
        <v>1113.98</v>
      </c>
      <c r="F78" t="s">
        <v>652</v>
      </c>
      <c r="G78" t="s">
        <v>647</v>
      </c>
    </row>
    <row r="79" spans="1:7" x14ac:dyDescent="0.35">
      <c r="A79" t="s">
        <v>726</v>
      </c>
      <c r="B79" t="s">
        <v>142</v>
      </c>
      <c r="C79" t="s">
        <v>515</v>
      </c>
      <c r="D79" s="1">
        <v>45186</v>
      </c>
      <c r="E79">
        <v>3628.15</v>
      </c>
      <c r="F79" t="s">
        <v>652</v>
      </c>
      <c r="G79" t="s">
        <v>647</v>
      </c>
    </row>
    <row r="80" spans="1:7" x14ac:dyDescent="0.35">
      <c r="A80" t="s">
        <v>727</v>
      </c>
      <c r="B80" t="s">
        <v>50</v>
      </c>
      <c r="C80" t="s">
        <v>516</v>
      </c>
      <c r="D80" s="1">
        <v>45286</v>
      </c>
      <c r="E80">
        <v>2319.4299999999998</v>
      </c>
      <c r="F80" t="s">
        <v>644</v>
      </c>
      <c r="G80" t="s">
        <v>647</v>
      </c>
    </row>
    <row r="81" spans="1:7" x14ac:dyDescent="0.35">
      <c r="A81" t="s">
        <v>728</v>
      </c>
      <c r="B81" t="s">
        <v>97</v>
      </c>
      <c r="C81" t="s">
        <v>517</v>
      </c>
      <c r="D81" s="1">
        <v>45103</v>
      </c>
      <c r="E81">
        <v>2426.9</v>
      </c>
      <c r="F81" t="s">
        <v>652</v>
      </c>
      <c r="G81" t="s">
        <v>645</v>
      </c>
    </row>
    <row r="82" spans="1:7" x14ac:dyDescent="0.35">
      <c r="A82" t="s">
        <v>729</v>
      </c>
      <c r="B82" t="s">
        <v>72</v>
      </c>
      <c r="C82" t="s">
        <v>518</v>
      </c>
      <c r="D82" s="1">
        <v>44932</v>
      </c>
      <c r="E82">
        <v>3729.19</v>
      </c>
      <c r="F82" t="s">
        <v>644</v>
      </c>
      <c r="G82" t="s">
        <v>645</v>
      </c>
    </row>
    <row r="83" spans="1:7" x14ac:dyDescent="0.35">
      <c r="A83" t="s">
        <v>730</v>
      </c>
      <c r="B83" t="s">
        <v>112</v>
      </c>
      <c r="C83" t="s">
        <v>519</v>
      </c>
      <c r="D83" s="1">
        <v>44946</v>
      </c>
      <c r="E83">
        <v>3615.96</v>
      </c>
      <c r="F83" t="s">
        <v>644</v>
      </c>
      <c r="G83" t="s">
        <v>645</v>
      </c>
    </row>
    <row r="84" spans="1:7" x14ac:dyDescent="0.35">
      <c r="A84" t="s">
        <v>731</v>
      </c>
      <c r="B84" t="s">
        <v>123</v>
      </c>
      <c r="C84" t="s">
        <v>520</v>
      </c>
      <c r="D84" s="1">
        <v>45237</v>
      </c>
      <c r="E84">
        <v>4960.6499999999996</v>
      </c>
      <c r="F84" t="s">
        <v>652</v>
      </c>
      <c r="G84" t="s">
        <v>645</v>
      </c>
    </row>
    <row r="85" spans="1:7" x14ac:dyDescent="0.35">
      <c r="A85" t="s">
        <v>732</v>
      </c>
      <c r="B85" t="s">
        <v>125</v>
      </c>
      <c r="C85" t="s">
        <v>521</v>
      </c>
      <c r="D85" s="1">
        <v>45077</v>
      </c>
      <c r="E85">
        <v>1077.77</v>
      </c>
      <c r="F85" t="s">
        <v>644</v>
      </c>
      <c r="G85" t="s">
        <v>645</v>
      </c>
    </row>
    <row r="86" spans="1:7" x14ac:dyDescent="0.35">
      <c r="A86" t="s">
        <v>733</v>
      </c>
      <c r="B86" t="s">
        <v>90</v>
      </c>
      <c r="C86" t="s">
        <v>522</v>
      </c>
      <c r="D86" s="1">
        <v>44975</v>
      </c>
      <c r="E86">
        <v>968.49</v>
      </c>
      <c r="F86" t="s">
        <v>652</v>
      </c>
      <c r="G86" t="s">
        <v>647</v>
      </c>
    </row>
    <row r="87" spans="1:7" x14ac:dyDescent="0.35">
      <c r="A87" t="s">
        <v>734</v>
      </c>
      <c r="B87" t="s">
        <v>151</v>
      </c>
      <c r="C87" t="s">
        <v>523</v>
      </c>
      <c r="D87" s="1">
        <v>45228</v>
      </c>
      <c r="E87">
        <v>3759.52</v>
      </c>
      <c r="F87" t="s">
        <v>655</v>
      </c>
      <c r="G87" t="s">
        <v>645</v>
      </c>
    </row>
    <row r="88" spans="1:7" x14ac:dyDescent="0.35">
      <c r="A88" t="s">
        <v>735</v>
      </c>
      <c r="B88" t="s">
        <v>52</v>
      </c>
      <c r="C88" t="s">
        <v>524</v>
      </c>
      <c r="D88" s="1">
        <v>45218</v>
      </c>
      <c r="E88">
        <v>3102.74</v>
      </c>
      <c r="F88" t="s">
        <v>655</v>
      </c>
      <c r="G88" t="s">
        <v>645</v>
      </c>
    </row>
    <row r="89" spans="1:7" x14ac:dyDescent="0.35">
      <c r="A89" t="s">
        <v>736</v>
      </c>
      <c r="B89" t="s">
        <v>154</v>
      </c>
      <c r="C89" t="s">
        <v>525</v>
      </c>
      <c r="D89" s="1">
        <v>45048</v>
      </c>
      <c r="E89">
        <v>1733.72</v>
      </c>
      <c r="F89" t="s">
        <v>655</v>
      </c>
      <c r="G89" t="s">
        <v>647</v>
      </c>
    </row>
    <row r="90" spans="1:7" x14ac:dyDescent="0.35">
      <c r="A90" t="s">
        <v>737</v>
      </c>
      <c r="B90" t="s">
        <v>45</v>
      </c>
      <c r="C90" t="s">
        <v>526</v>
      </c>
      <c r="D90" s="1">
        <v>44971</v>
      </c>
      <c r="E90">
        <v>857.39</v>
      </c>
      <c r="F90" t="s">
        <v>655</v>
      </c>
      <c r="G90" t="s">
        <v>645</v>
      </c>
    </row>
    <row r="91" spans="1:7" x14ac:dyDescent="0.35">
      <c r="A91" t="s">
        <v>738</v>
      </c>
      <c r="B91" t="s">
        <v>52</v>
      </c>
      <c r="C91" t="s">
        <v>527</v>
      </c>
      <c r="D91" s="1">
        <v>45078</v>
      </c>
      <c r="E91">
        <v>885.46</v>
      </c>
      <c r="F91" t="s">
        <v>644</v>
      </c>
      <c r="G91" t="s">
        <v>647</v>
      </c>
    </row>
    <row r="92" spans="1:7" x14ac:dyDescent="0.35">
      <c r="A92" t="s">
        <v>739</v>
      </c>
      <c r="B92" t="s">
        <v>92</v>
      </c>
      <c r="C92" t="s">
        <v>528</v>
      </c>
      <c r="D92" s="1">
        <v>45088</v>
      </c>
      <c r="E92">
        <v>4523.8599999999997</v>
      </c>
      <c r="F92" t="s">
        <v>652</v>
      </c>
      <c r="G92" t="s">
        <v>647</v>
      </c>
    </row>
    <row r="93" spans="1:7" x14ac:dyDescent="0.35">
      <c r="A93" t="s">
        <v>740</v>
      </c>
      <c r="B93" t="s">
        <v>52</v>
      </c>
      <c r="C93" t="s">
        <v>529</v>
      </c>
      <c r="D93" s="1">
        <v>44956</v>
      </c>
      <c r="E93">
        <v>1363.4</v>
      </c>
      <c r="F93" t="s">
        <v>652</v>
      </c>
      <c r="G93" t="s">
        <v>650</v>
      </c>
    </row>
    <row r="94" spans="1:7" x14ac:dyDescent="0.35">
      <c r="A94" t="s">
        <v>741</v>
      </c>
      <c r="B94" t="s">
        <v>8</v>
      </c>
      <c r="C94" t="s">
        <v>530</v>
      </c>
      <c r="D94" s="1">
        <v>45025</v>
      </c>
      <c r="E94">
        <v>1955.17</v>
      </c>
      <c r="F94" t="s">
        <v>652</v>
      </c>
      <c r="G94" t="s">
        <v>650</v>
      </c>
    </row>
    <row r="95" spans="1:7" x14ac:dyDescent="0.35">
      <c r="A95" t="s">
        <v>742</v>
      </c>
      <c r="B95" t="s">
        <v>161</v>
      </c>
      <c r="C95" t="s">
        <v>531</v>
      </c>
      <c r="D95" s="1">
        <v>45024</v>
      </c>
      <c r="E95">
        <v>1519.95</v>
      </c>
      <c r="F95" t="s">
        <v>655</v>
      </c>
      <c r="G95" t="s">
        <v>650</v>
      </c>
    </row>
    <row r="96" spans="1:7" x14ac:dyDescent="0.35">
      <c r="A96" t="s">
        <v>743</v>
      </c>
      <c r="B96" t="s">
        <v>163</v>
      </c>
      <c r="C96" t="s">
        <v>532</v>
      </c>
      <c r="D96" s="1">
        <v>45055</v>
      </c>
      <c r="E96">
        <v>2097.48</v>
      </c>
      <c r="F96" t="s">
        <v>655</v>
      </c>
      <c r="G96" t="s">
        <v>650</v>
      </c>
    </row>
    <row r="97" spans="1:7" x14ac:dyDescent="0.35">
      <c r="A97" t="s">
        <v>744</v>
      </c>
      <c r="B97" t="s">
        <v>106</v>
      </c>
      <c r="C97" t="s">
        <v>533</v>
      </c>
      <c r="D97" s="1">
        <v>45114</v>
      </c>
      <c r="E97">
        <v>812.41</v>
      </c>
      <c r="F97" t="s">
        <v>652</v>
      </c>
      <c r="G97" t="s">
        <v>645</v>
      </c>
    </row>
    <row r="98" spans="1:7" x14ac:dyDescent="0.35">
      <c r="A98" t="s">
        <v>745</v>
      </c>
      <c r="B98" t="s">
        <v>123</v>
      </c>
      <c r="C98" t="s">
        <v>534</v>
      </c>
      <c r="D98" s="1">
        <v>45052</v>
      </c>
      <c r="E98">
        <v>2835.77</v>
      </c>
      <c r="F98" t="s">
        <v>655</v>
      </c>
      <c r="G98" t="s">
        <v>650</v>
      </c>
    </row>
    <row r="99" spans="1:7" x14ac:dyDescent="0.35">
      <c r="A99" t="s">
        <v>746</v>
      </c>
      <c r="B99" t="s">
        <v>28</v>
      </c>
      <c r="C99" t="s">
        <v>535</v>
      </c>
      <c r="D99" s="1">
        <v>45002</v>
      </c>
      <c r="E99">
        <v>804.26</v>
      </c>
      <c r="F99" t="s">
        <v>652</v>
      </c>
      <c r="G99" t="s">
        <v>647</v>
      </c>
    </row>
    <row r="100" spans="1:7" x14ac:dyDescent="0.35">
      <c r="A100" t="s">
        <v>747</v>
      </c>
      <c r="B100" t="s">
        <v>168</v>
      </c>
      <c r="C100" t="s">
        <v>536</v>
      </c>
      <c r="D100" s="1">
        <v>45111</v>
      </c>
      <c r="E100">
        <v>4101.6000000000004</v>
      </c>
      <c r="F100" t="s">
        <v>652</v>
      </c>
      <c r="G100" t="s">
        <v>645</v>
      </c>
    </row>
    <row r="101" spans="1:7" x14ac:dyDescent="0.35">
      <c r="A101" t="s">
        <v>748</v>
      </c>
      <c r="B101" t="s">
        <v>45</v>
      </c>
      <c r="C101" t="s">
        <v>537</v>
      </c>
      <c r="D101" s="1">
        <v>44987</v>
      </c>
      <c r="E101">
        <v>1551.7</v>
      </c>
      <c r="F101" t="s">
        <v>652</v>
      </c>
      <c r="G101" t="s">
        <v>650</v>
      </c>
    </row>
    <row r="102" spans="1:7" x14ac:dyDescent="0.35">
      <c r="A102" t="s">
        <v>749</v>
      </c>
      <c r="B102" t="s">
        <v>84</v>
      </c>
      <c r="C102" t="s">
        <v>538</v>
      </c>
      <c r="D102" s="1">
        <v>45190</v>
      </c>
      <c r="E102">
        <v>2930.05</v>
      </c>
      <c r="F102" t="s">
        <v>652</v>
      </c>
      <c r="G102" t="s">
        <v>647</v>
      </c>
    </row>
    <row r="103" spans="1:7" x14ac:dyDescent="0.35">
      <c r="A103" t="s">
        <v>750</v>
      </c>
      <c r="B103" t="s">
        <v>21</v>
      </c>
      <c r="C103" t="s">
        <v>539</v>
      </c>
      <c r="D103" s="1">
        <v>45224</v>
      </c>
      <c r="E103">
        <v>4460.3599999999997</v>
      </c>
      <c r="F103" t="s">
        <v>652</v>
      </c>
      <c r="G103" t="s">
        <v>645</v>
      </c>
    </row>
    <row r="104" spans="1:7" x14ac:dyDescent="0.35">
      <c r="A104" t="s">
        <v>751</v>
      </c>
      <c r="B104" t="s">
        <v>81</v>
      </c>
      <c r="C104" t="s">
        <v>540</v>
      </c>
      <c r="D104" s="1">
        <v>44950</v>
      </c>
      <c r="E104">
        <v>3428.95</v>
      </c>
      <c r="F104" t="s">
        <v>652</v>
      </c>
      <c r="G104" t="s">
        <v>645</v>
      </c>
    </row>
    <row r="105" spans="1:7" x14ac:dyDescent="0.35">
      <c r="A105" t="s">
        <v>752</v>
      </c>
      <c r="B105" t="s">
        <v>84</v>
      </c>
      <c r="C105" t="s">
        <v>541</v>
      </c>
      <c r="D105" s="1">
        <v>45034</v>
      </c>
      <c r="E105">
        <v>2898.31</v>
      </c>
      <c r="F105" t="s">
        <v>652</v>
      </c>
      <c r="G105" t="s">
        <v>650</v>
      </c>
    </row>
    <row r="106" spans="1:7" x14ac:dyDescent="0.35">
      <c r="A106" t="s">
        <v>753</v>
      </c>
      <c r="B106" t="s">
        <v>92</v>
      </c>
      <c r="C106" t="s">
        <v>542</v>
      </c>
      <c r="D106" s="1">
        <v>45152</v>
      </c>
      <c r="E106">
        <v>1959.5</v>
      </c>
      <c r="F106" t="s">
        <v>655</v>
      </c>
      <c r="G106" t="s">
        <v>645</v>
      </c>
    </row>
    <row r="107" spans="1:7" x14ac:dyDescent="0.35">
      <c r="A107" t="s">
        <v>754</v>
      </c>
      <c r="B107" t="s">
        <v>56</v>
      </c>
      <c r="C107" t="s">
        <v>543</v>
      </c>
      <c r="D107" s="1">
        <v>45228</v>
      </c>
      <c r="E107">
        <v>1998.51</v>
      </c>
      <c r="F107" t="s">
        <v>652</v>
      </c>
      <c r="G107" t="s">
        <v>647</v>
      </c>
    </row>
    <row r="108" spans="1:7" x14ac:dyDescent="0.35">
      <c r="A108" t="s">
        <v>755</v>
      </c>
      <c r="B108" t="s">
        <v>177</v>
      </c>
      <c r="C108" t="s">
        <v>544</v>
      </c>
      <c r="D108" s="1">
        <v>45033</v>
      </c>
      <c r="E108">
        <v>3512.69</v>
      </c>
      <c r="F108" t="s">
        <v>652</v>
      </c>
      <c r="G108" t="s">
        <v>645</v>
      </c>
    </row>
    <row r="109" spans="1:7" x14ac:dyDescent="0.35">
      <c r="A109" t="s">
        <v>756</v>
      </c>
      <c r="B109" t="s">
        <v>109</v>
      </c>
      <c r="C109" t="s">
        <v>545</v>
      </c>
      <c r="D109" s="1">
        <v>45037</v>
      </c>
      <c r="E109">
        <v>4973.63</v>
      </c>
      <c r="F109" t="s">
        <v>655</v>
      </c>
      <c r="G109" t="s">
        <v>647</v>
      </c>
    </row>
    <row r="110" spans="1:7" x14ac:dyDescent="0.35">
      <c r="A110" t="s">
        <v>757</v>
      </c>
      <c r="B110" t="s">
        <v>125</v>
      </c>
      <c r="C110" t="s">
        <v>546</v>
      </c>
      <c r="D110" s="1">
        <v>45136</v>
      </c>
      <c r="E110">
        <v>3478.28</v>
      </c>
      <c r="F110" t="s">
        <v>655</v>
      </c>
      <c r="G110" t="s">
        <v>645</v>
      </c>
    </row>
    <row r="111" spans="1:7" x14ac:dyDescent="0.35">
      <c r="A111" t="s">
        <v>758</v>
      </c>
      <c r="B111" t="s">
        <v>68</v>
      </c>
      <c r="C111" t="s">
        <v>547</v>
      </c>
      <c r="D111" s="1">
        <v>45126</v>
      </c>
      <c r="E111">
        <v>3010.03</v>
      </c>
      <c r="F111" t="s">
        <v>655</v>
      </c>
      <c r="G111" t="s">
        <v>650</v>
      </c>
    </row>
    <row r="112" spans="1:7" x14ac:dyDescent="0.35">
      <c r="A112" t="s">
        <v>759</v>
      </c>
      <c r="B112" t="s">
        <v>125</v>
      </c>
      <c r="C112" t="s">
        <v>548</v>
      </c>
      <c r="D112" s="1">
        <v>45068</v>
      </c>
      <c r="E112">
        <v>3787.93</v>
      </c>
      <c r="F112" t="s">
        <v>652</v>
      </c>
      <c r="G112" t="s">
        <v>647</v>
      </c>
    </row>
    <row r="113" spans="1:7" x14ac:dyDescent="0.35">
      <c r="A113" t="s">
        <v>760</v>
      </c>
      <c r="B113" t="s">
        <v>17</v>
      </c>
      <c r="C113" t="s">
        <v>549</v>
      </c>
      <c r="D113" s="1">
        <v>44937</v>
      </c>
      <c r="E113">
        <v>2593.4299999999998</v>
      </c>
      <c r="F113" t="s">
        <v>644</v>
      </c>
      <c r="G113" t="s">
        <v>645</v>
      </c>
    </row>
    <row r="114" spans="1:7" x14ac:dyDescent="0.35">
      <c r="A114" t="s">
        <v>761</v>
      </c>
      <c r="B114" t="s">
        <v>84</v>
      </c>
      <c r="C114" t="s">
        <v>550</v>
      </c>
      <c r="D114" s="1">
        <v>45254</v>
      </c>
      <c r="E114">
        <v>770.64</v>
      </c>
      <c r="F114" t="s">
        <v>644</v>
      </c>
      <c r="G114" t="s">
        <v>645</v>
      </c>
    </row>
    <row r="115" spans="1:7" x14ac:dyDescent="0.35">
      <c r="A115" t="s">
        <v>762</v>
      </c>
      <c r="B115" t="s">
        <v>185</v>
      </c>
      <c r="C115" t="s">
        <v>551</v>
      </c>
      <c r="D115" s="1">
        <v>45146</v>
      </c>
      <c r="E115">
        <v>3030.34</v>
      </c>
      <c r="F115" t="s">
        <v>655</v>
      </c>
      <c r="G115" t="s">
        <v>645</v>
      </c>
    </row>
    <row r="116" spans="1:7" x14ac:dyDescent="0.35">
      <c r="A116" t="s">
        <v>763</v>
      </c>
      <c r="B116" t="s">
        <v>68</v>
      </c>
      <c r="C116" t="s">
        <v>552</v>
      </c>
      <c r="D116" s="1">
        <v>45224</v>
      </c>
      <c r="E116">
        <v>4809.3100000000004</v>
      </c>
      <c r="F116" t="s">
        <v>644</v>
      </c>
      <c r="G116" t="s">
        <v>647</v>
      </c>
    </row>
    <row r="117" spans="1:7" x14ac:dyDescent="0.35">
      <c r="A117" t="s">
        <v>764</v>
      </c>
      <c r="B117" t="s">
        <v>37</v>
      </c>
      <c r="C117" t="s">
        <v>553</v>
      </c>
      <c r="D117" s="1">
        <v>45114</v>
      </c>
      <c r="E117">
        <v>1288.8599999999999</v>
      </c>
      <c r="F117" t="s">
        <v>655</v>
      </c>
      <c r="G117" t="s">
        <v>647</v>
      </c>
    </row>
    <row r="118" spans="1:7" x14ac:dyDescent="0.35">
      <c r="A118" t="s">
        <v>765</v>
      </c>
      <c r="B118" t="s">
        <v>13</v>
      </c>
      <c r="C118" t="s">
        <v>554</v>
      </c>
      <c r="D118" s="1">
        <v>45097</v>
      </c>
      <c r="E118">
        <v>3605.02</v>
      </c>
      <c r="F118" t="s">
        <v>652</v>
      </c>
      <c r="G118" t="s">
        <v>647</v>
      </c>
    </row>
    <row r="119" spans="1:7" x14ac:dyDescent="0.35">
      <c r="A119" t="s">
        <v>766</v>
      </c>
      <c r="B119" t="s">
        <v>109</v>
      </c>
      <c r="C119" t="s">
        <v>555</v>
      </c>
      <c r="D119" s="1">
        <v>45147</v>
      </c>
      <c r="E119">
        <v>1404.2</v>
      </c>
      <c r="F119" t="s">
        <v>644</v>
      </c>
      <c r="G119" t="s">
        <v>650</v>
      </c>
    </row>
    <row r="120" spans="1:7" x14ac:dyDescent="0.35">
      <c r="A120" t="s">
        <v>767</v>
      </c>
      <c r="B120" t="s">
        <v>90</v>
      </c>
      <c r="C120" t="s">
        <v>556</v>
      </c>
      <c r="D120" s="1">
        <v>45278</v>
      </c>
      <c r="E120">
        <v>2911.22</v>
      </c>
      <c r="F120" t="s">
        <v>652</v>
      </c>
      <c r="G120" t="s">
        <v>650</v>
      </c>
    </row>
    <row r="121" spans="1:7" x14ac:dyDescent="0.35">
      <c r="A121" t="s">
        <v>768</v>
      </c>
      <c r="B121" t="s">
        <v>13</v>
      </c>
      <c r="C121" t="s">
        <v>557</v>
      </c>
      <c r="D121" s="1">
        <v>45268</v>
      </c>
      <c r="E121">
        <v>935.04</v>
      </c>
      <c r="F121" t="s">
        <v>644</v>
      </c>
      <c r="G121" t="s">
        <v>647</v>
      </c>
    </row>
    <row r="122" spans="1:7" x14ac:dyDescent="0.35">
      <c r="A122" t="s">
        <v>769</v>
      </c>
      <c r="B122" t="s">
        <v>56</v>
      </c>
      <c r="C122" t="s">
        <v>558</v>
      </c>
      <c r="D122" s="1">
        <v>45023</v>
      </c>
      <c r="E122">
        <v>2526.67</v>
      </c>
      <c r="F122" t="s">
        <v>652</v>
      </c>
      <c r="G122" t="s">
        <v>645</v>
      </c>
    </row>
    <row r="123" spans="1:7" x14ac:dyDescent="0.35">
      <c r="A123" t="s">
        <v>770</v>
      </c>
      <c r="B123" t="s">
        <v>50</v>
      </c>
      <c r="C123" t="s">
        <v>559</v>
      </c>
      <c r="D123" s="1">
        <v>45118</v>
      </c>
      <c r="E123">
        <v>3902.73</v>
      </c>
      <c r="F123" t="s">
        <v>644</v>
      </c>
      <c r="G123" t="s">
        <v>650</v>
      </c>
    </row>
    <row r="124" spans="1:7" x14ac:dyDescent="0.35">
      <c r="A124" t="s">
        <v>771</v>
      </c>
      <c r="B124" t="s">
        <v>68</v>
      </c>
      <c r="C124" t="s">
        <v>560</v>
      </c>
      <c r="D124" s="1">
        <v>44985</v>
      </c>
      <c r="E124">
        <v>2064.0700000000002</v>
      </c>
      <c r="F124" t="s">
        <v>652</v>
      </c>
      <c r="G124" t="s">
        <v>647</v>
      </c>
    </row>
    <row r="125" spans="1:7" x14ac:dyDescent="0.35">
      <c r="A125" t="s">
        <v>772</v>
      </c>
      <c r="B125" t="s">
        <v>142</v>
      </c>
      <c r="C125" t="s">
        <v>561</v>
      </c>
      <c r="D125" s="1">
        <v>45001</v>
      </c>
      <c r="E125">
        <v>3492.1</v>
      </c>
      <c r="F125" t="s">
        <v>652</v>
      </c>
      <c r="G125" t="s">
        <v>645</v>
      </c>
    </row>
    <row r="126" spans="1:7" x14ac:dyDescent="0.35">
      <c r="A126" t="s">
        <v>773</v>
      </c>
      <c r="B126" t="s">
        <v>90</v>
      </c>
      <c r="C126" t="s">
        <v>562</v>
      </c>
      <c r="D126" s="1">
        <v>44975</v>
      </c>
      <c r="E126">
        <v>4079.52</v>
      </c>
      <c r="F126" t="s">
        <v>644</v>
      </c>
      <c r="G126" t="s">
        <v>650</v>
      </c>
    </row>
    <row r="127" spans="1:7" x14ac:dyDescent="0.35">
      <c r="A127" t="s">
        <v>774</v>
      </c>
      <c r="B127" t="s">
        <v>21</v>
      </c>
      <c r="C127" t="s">
        <v>563</v>
      </c>
      <c r="D127" s="1">
        <v>45232</v>
      </c>
      <c r="E127">
        <v>4672.3</v>
      </c>
      <c r="F127" t="s">
        <v>652</v>
      </c>
      <c r="G127" t="s">
        <v>645</v>
      </c>
    </row>
    <row r="128" spans="1:7" x14ac:dyDescent="0.35">
      <c r="A128" t="s">
        <v>775</v>
      </c>
      <c r="B128" t="s">
        <v>125</v>
      </c>
      <c r="C128" t="s">
        <v>564</v>
      </c>
      <c r="D128" s="1">
        <v>45243</v>
      </c>
      <c r="E128">
        <v>1555.89</v>
      </c>
      <c r="F128" t="s">
        <v>652</v>
      </c>
      <c r="G128" t="s">
        <v>645</v>
      </c>
    </row>
    <row r="129" spans="1:7" x14ac:dyDescent="0.35">
      <c r="A129" t="s">
        <v>776</v>
      </c>
      <c r="B129" t="s">
        <v>161</v>
      </c>
      <c r="C129" t="s">
        <v>565</v>
      </c>
      <c r="D129" s="1">
        <v>45031</v>
      </c>
      <c r="E129">
        <v>2296.92</v>
      </c>
      <c r="F129" t="s">
        <v>652</v>
      </c>
      <c r="G129" t="s">
        <v>645</v>
      </c>
    </row>
    <row r="130" spans="1:7" x14ac:dyDescent="0.35">
      <c r="A130" t="s">
        <v>777</v>
      </c>
      <c r="B130" t="s">
        <v>70</v>
      </c>
      <c r="C130" t="s">
        <v>566</v>
      </c>
      <c r="D130" s="1">
        <v>45163</v>
      </c>
      <c r="E130">
        <v>1185.8699999999999</v>
      </c>
      <c r="F130" t="s">
        <v>644</v>
      </c>
      <c r="G130" t="s">
        <v>645</v>
      </c>
    </row>
    <row r="131" spans="1:7" x14ac:dyDescent="0.35">
      <c r="A131" t="s">
        <v>778</v>
      </c>
      <c r="B131" t="s">
        <v>151</v>
      </c>
      <c r="C131" t="s">
        <v>567</v>
      </c>
      <c r="D131" s="1">
        <v>44980</v>
      </c>
      <c r="E131">
        <v>4966.18</v>
      </c>
      <c r="F131" t="s">
        <v>644</v>
      </c>
      <c r="G131" t="s">
        <v>650</v>
      </c>
    </row>
    <row r="132" spans="1:7" x14ac:dyDescent="0.35">
      <c r="A132" t="s">
        <v>779</v>
      </c>
      <c r="B132" t="s">
        <v>68</v>
      </c>
      <c r="C132" t="s">
        <v>568</v>
      </c>
      <c r="D132" s="1">
        <v>45057</v>
      </c>
      <c r="E132">
        <v>4671.5</v>
      </c>
      <c r="F132" t="s">
        <v>652</v>
      </c>
      <c r="G132" t="s">
        <v>650</v>
      </c>
    </row>
    <row r="133" spans="1:7" x14ac:dyDescent="0.35">
      <c r="A133" t="s">
        <v>780</v>
      </c>
      <c r="B133" t="s">
        <v>119</v>
      </c>
      <c r="C133" t="s">
        <v>569</v>
      </c>
      <c r="D133" s="1">
        <v>45133</v>
      </c>
      <c r="E133">
        <v>2929.81</v>
      </c>
      <c r="F133" t="s">
        <v>652</v>
      </c>
      <c r="G133" t="s">
        <v>650</v>
      </c>
    </row>
    <row r="134" spans="1:7" x14ac:dyDescent="0.35">
      <c r="A134" t="s">
        <v>781</v>
      </c>
      <c r="B134" t="s">
        <v>17</v>
      </c>
      <c r="C134" t="s">
        <v>570</v>
      </c>
      <c r="D134" s="1">
        <v>45008</v>
      </c>
      <c r="E134">
        <v>4289.1499999999996</v>
      </c>
      <c r="F134" t="s">
        <v>644</v>
      </c>
      <c r="G134" t="s">
        <v>647</v>
      </c>
    </row>
    <row r="135" spans="1:7" x14ac:dyDescent="0.35">
      <c r="A135" t="s">
        <v>782</v>
      </c>
      <c r="B135" t="s">
        <v>21</v>
      </c>
      <c r="C135" t="s">
        <v>571</v>
      </c>
      <c r="D135" s="1">
        <v>45216</v>
      </c>
      <c r="E135">
        <v>2844.31</v>
      </c>
      <c r="F135" t="s">
        <v>644</v>
      </c>
      <c r="G135" t="s">
        <v>650</v>
      </c>
    </row>
    <row r="136" spans="1:7" x14ac:dyDescent="0.35">
      <c r="A136" t="s">
        <v>783</v>
      </c>
      <c r="B136" t="s">
        <v>43</v>
      </c>
      <c r="C136" t="s">
        <v>572</v>
      </c>
      <c r="D136" s="1">
        <v>45178</v>
      </c>
      <c r="E136">
        <v>3306.14</v>
      </c>
      <c r="F136" t="s">
        <v>652</v>
      </c>
      <c r="G136" t="s">
        <v>645</v>
      </c>
    </row>
    <row r="137" spans="1:7" x14ac:dyDescent="0.35">
      <c r="A137" t="s">
        <v>784</v>
      </c>
      <c r="B137" t="s">
        <v>142</v>
      </c>
      <c r="C137" t="s">
        <v>573</v>
      </c>
      <c r="D137" s="1">
        <v>45059</v>
      </c>
      <c r="E137">
        <v>901.06</v>
      </c>
      <c r="F137" t="s">
        <v>652</v>
      </c>
      <c r="G137" t="s">
        <v>650</v>
      </c>
    </row>
    <row r="138" spans="1:7" x14ac:dyDescent="0.35">
      <c r="A138" t="s">
        <v>785</v>
      </c>
      <c r="B138" t="s">
        <v>100</v>
      </c>
      <c r="C138" t="s">
        <v>574</v>
      </c>
      <c r="D138" s="1">
        <v>45224</v>
      </c>
      <c r="E138">
        <v>3898.72</v>
      </c>
      <c r="F138" t="s">
        <v>652</v>
      </c>
      <c r="G138" t="s">
        <v>645</v>
      </c>
    </row>
    <row r="139" spans="1:7" x14ac:dyDescent="0.35">
      <c r="A139" t="s">
        <v>786</v>
      </c>
      <c r="B139" t="s">
        <v>68</v>
      </c>
      <c r="C139" t="s">
        <v>575</v>
      </c>
      <c r="D139" s="1">
        <v>45286</v>
      </c>
      <c r="E139">
        <v>1074.71</v>
      </c>
      <c r="F139" t="s">
        <v>655</v>
      </c>
      <c r="G139" t="s">
        <v>647</v>
      </c>
    </row>
    <row r="140" spans="1:7" x14ac:dyDescent="0.35">
      <c r="A140" t="s">
        <v>787</v>
      </c>
      <c r="B140" t="s">
        <v>84</v>
      </c>
      <c r="C140" t="s">
        <v>576</v>
      </c>
      <c r="D140" s="1">
        <v>45209</v>
      </c>
      <c r="E140">
        <v>4217.3</v>
      </c>
      <c r="F140" t="s">
        <v>644</v>
      </c>
      <c r="G140" t="s">
        <v>645</v>
      </c>
    </row>
    <row r="141" spans="1:7" x14ac:dyDescent="0.35">
      <c r="A141" t="s">
        <v>788</v>
      </c>
      <c r="B141" t="s">
        <v>50</v>
      </c>
      <c r="C141" t="s">
        <v>577</v>
      </c>
      <c r="D141" s="1">
        <v>44962</v>
      </c>
      <c r="E141">
        <v>4019.13</v>
      </c>
      <c r="F141" t="s">
        <v>655</v>
      </c>
      <c r="G141" t="s">
        <v>645</v>
      </c>
    </row>
    <row r="142" spans="1:7" x14ac:dyDescent="0.35">
      <c r="A142" t="s">
        <v>789</v>
      </c>
      <c r="B142" t="s">
        <v>161</v>
      </c>
      <c r="C142" t="s">
        <v>578</v>
      </c>
      <c r="D142" s="1">
        <v>45092</v>
      </c>
      <c r="E142">
        <v>3689.35</v>
      </c>
      <c r="F142" t="s">
        <v>644</v>
      </c>
      <c r="G142" t="s">
        <v>645</v>
      </c>
    </row>
    <row r="143" spans="1:7" x14ac:dyDescent="0.35">
      <c r="A143" t="s">
        <v>790</v>
      </c>
      <c r="B143" t="s">
        <v>100</v>
      </c>
      <c r="C143" t="s">
        <v>579</v>
      </c>
      <c r="D143" s="1">
        <v>45231</v>
      </c>
      <c r="E143">
        <v>662.72</v>
      </c>
      <c r="F143" t="s">
        <v>644</v>
      </c>
      <c r="G143" t="s">
        <v>647</v>
      </c>
    </row>
    <row r="144" spans="1:7" x14ac:dyDescent="0.35">
      <c r="A144" t="s">
        <v>791</v>
      </c>
      <c r="B144" t="s">
        <v>50</v>
      </c>
      <c r="C144" t="s">
        <v>580</v>
      </c>
      <c r="D144" s="1">
        <v>45190</v>
      </c>
      <c r="E144">
        <v>1864.08</v>
      </c>
      <c r="F144" t="s">
        <v>644</v>
      </c>
      <c r="G144" t="s">
        <v>650</v>
      </c>
    </row>
    <row r="145" spans="1:7" x14ac:dyDescent="0.35">
      <c r="A145" t="s">
        <v>792</v>
      </c>
      <c r="B145" t="s">
        <v>177</v>
      </c>
      <c r="C145" t="s">
        <v>581</v>
      </c>
      <c r="D145" s="1">
        <v>45154</v>
      </c>
      <c r="E145">
        <v>1684.01</v>
      </c>
      <c r="F145" t="s">
        <v>644</v>
      </c>
      <c r="G145" t="s">
        <v>650</v>
      </c>
    </row>
    <row r="146" spans="1:7" x14ac:dyDescent="0.35">
      <c r="A146" t="s">
        <v>793</v>
      </c>
      <c r="B146" t="s">
        <v>163</v>
      </c>
      <c r="C146" t="s">
        <v>582</v>
      </c>
      <c r="D146" s="1">
        <v>45241</v>
      </c>
      <c r="E146">
        <v>2120.61</v>
      </c>
      <c r="F146" t="s">
        <v>644</v>
      </c>
      <c r="G146" t="s">
        <v>647</v>
      </c>
    </row>
    <row r="147" spans="1:7" x14ac:dyDescent="0.35">
      <c r="A147" t="s">
        <v>794</v>
      </c>
      <c r="B147" t="s">
        <v>63</v>
      </c>
      <c r="C147" t="s">
        <v>583</v>
      </c>
      <c r="D147" s="1">
        <v>44931</v>
      </c>
      <c r="E147">
        <v>894.39</v>
      </c>
      <c r="F147" t="s">
        <v>644</v>
      </c>
      <c r="G147" t="s">
        <v>645</v>
      </c>
    </row>
    <row r="148" spans="1:7" x14ac:dyDescent="0.35">
      <c r="A148" t="s">
        <v>795</v>
      </c>
      <c r="B148" t="s">
        <v>61</v>
      </c>
      <c r="C148" t="s">
        <v>584</v>
      </c>
      <c r="D148" s="1">
        <v>45243</v>
      </c>
      <c r="E148">
        <v>4716.3100000000004</v>
      </c>
      <c r="F148" t="s">
        <v>644</v>
      </c>
      <c r="G148" t="s">
        <v>650</v>
      </c>
    </row>
    <row r="149" spans="1:7" x14ac:dyDescent="0.35">
      <c r="A149" t="s">
        <v>796</v>
      </c>
      <c r="B149" t="s">
        <v>97</v>
      </c>
      <c r="C149" t="s">
        <v>585</v>
      </c>
      <c r="D149" s="1">
        <v>45266</v>
      </c>
      <c r="E149">
        <v>2992.11</v>
      </c>
      <c r="F149" t="s">
        <v>655</v>
      </c>
      <c r="G149" t="s">
        <v>647</v>
      </c>
    </row>
    <row r="150" spans="1:7" x14ac:dyDescent="0.35">
      <c r="A150" t="s">
        <v>797</v>
      </c>
      <c r="B150" t="s">
        <v>100</v>
      </c>
      <c r="C150" t="s">
        <v>586</v>
      </c>
      <c r="D150" s="1">
        <v>45133</v>
      </c>
      <c r="E150">
        <v>1874.86</v>
      </c>
      <c r="F150" t="s">
        <v>652</v>
      </c>
      <c r="G150" t="s">
        <v>650</v>
      </c>
    </row>
    <row r="151" spans="1:7" x14ac:dyDescent="0.35">
      <c r="A151" t="s">
        <v>798</v>
      </c>
      <c r="B151" t="s">
        <v>66</v>
      </c>
      <c r="C151" t="s">
        <v>587</v>
      </c>
      <c r="D151" s="1">
        <v>45154</v>
      </c>
      <c r="E151">
        <v>2286.42</v>
      </c>
      <c r="F151" t="s">
        <v>652</v>
      </c>
      <c r="G151" t="s">
        <v>647</v>
      </c>
    </row>
    <row r="152" spans="1:7" x14ac:dyDescent="0.35">
      <c r="A152" t="s">
        <v>799</v>
      </c>
      <c r="B152" t="s">
        <v>34</v>
      </c>
      <c r="C152" t="s">
        <v>588</v>
      </c>
      <c r="D152" s="1">
        <v>44954</v>
      </c>
      <c r="E152">
        <v>2512.41</v>
      </c>
      <c r="F152" t="s">
        <v>655</v>
      </c>
      <c r="G152" t="s">
        <v>645</v>
      </c>
    </row>
    <row r="153" spans="1:7" x14ac:dyDescent="0.35">
      <c r="A153" t="s">
        <v>800</v>
      </c>
      <c r="B153" t="s">
        <v>40</v>
      </c>
      <c r="C153" t="s">
        <v>589</v>
      </c>
      <c r="D153" s="1">
        <v>45030</v>
      </c>
      <c r="E153">
        <v>3202.67</v>
      </c>
      <c r="F153" t="s">
        <v>655</v>
      </c>
      <c r="G153" t="s">
        <v>650</v>
      </c>
    </row>
    <row r="154" spans="1:7" x14ac:dyDescent="0.35">
      <c r="A154" t="s">
        <v>801</v>
      </c>
      <c r="B154" t="s">
        <v>125</v>
      </c>
      <c r="C154" t="s">
        <v>590</v>
      </c>
      <c r="D154" s="1">
        <v>45115</v>
      </c>
      <c r="E154">
        <v>2820.56</v>
      </c>
      <c r="F154" t="s">
        <v>655</v>
      </c>
      <c r="G154" t="s">
        <v>647</v>
      </c>
    </row>
    <row r="155" spans="1:7" x14ac:dyDescent="0.35">
      <c r="A155" t="s">
        <v>802</v>
      </c>
      <c r="B155" t="s">
        <v>50</v>
      </c>
      <c r="C155" t="s">
        <v>591</v>
      </c>
      <c r="D155" s="1">
        <v>44991</v>
      </c>
      <c r="E155">
        <v>4637.26</v>
      </c>
      <c r="F155" t="s">
        <v>655</v>
      </c>
      <c r="G155" t="s">
        <v>650</v>
      </c>
    </row>
    <row r="156" spans="1:7" x14ac:dyDescent="0.35">
      <c r="A156" t="s">
        <v>803</v>
      </c>
      <c r="B156" t="s">
        <v>21</v>
      </c>
      <c r="C156" t="s">
        <v>592</v>
      </c>
      <c r="D156" s="1">
        <v>44929</v>
      </c>
      <c r="E156">
        <v>2736.34</v>
      </c>
      <c r="F156" t="s">
        <v>644</v>
      </c>
      <c r="G156" t="s">
        <v>650</v>
      </c>
    </row>
    <row r="157" spans="1:7" x14ac:dyDescent="0.35">
      <c r="A157" t="s">
        <v>804</v>
      </c>
      <c r="B157" t="s">
        <v>81</v>
      </c>
      <c r="C157" t="s">
        <v>593</v>
      </c>
      <c r="D157" s="1">
        <v>45252</v>
      </c>
      <c r="E157">
        <v>4964.71</v>
      </c>
      <c r="F157" t="s">
        <v>652</v>
      </c>
      <c r="G157" t="s">
        <v>650</v>
      </c>
    </row>
    <row r="158" spans="1:7" x14ac:dyDescent="0.35">
      <c r="A158" t="s">
        <v>805</v>
      </c>
      <c r="B158" t="s">
        <v>84</v>
      </c>
      <c r="C158" t="s">
        <v>594</v>
      </c>
      <c r="D158" s="1">
        <v>45058</v>
      </c>
      <c r="E158">
        <v>4331.41</v>
      </c>
      <c r="F158" t="s">
        <v>644</v>
      </c>
      <c r="G158" t="s">
        <v>650</v>
      </c>
    </row>
    <row r="159" spans="1:7" x14ac:dyDescent="0.35">
      <c r="A159" t="s">
        <v>806</v>
      </c>
      <c r="B159" t="s">
        <v>90</v>
      </c>
      <c r="C159" t="s">
        <v>595</v>
      </c>
      <c r="D159" s="1">
        <v>45119</v>
      </c>
      <c r="E159">
        <v>1438.3</v>
      </c>
      <c r="F159" t="s">
        <v>652</v>
      </c>
      <c r="G159" t="s">
        <v>647</v>
      </c>
    </row>
    <row r="160" spans="1:7" x14ac:dyDescent="0.35">
      <c r="A160" t="s">
        <v>807</v>
      </c>
      <c r="B160" t="s">
        <v>34</v>
      </c>
      <c r="C160" t="s">
        <v>596</v>
      </c>
      <c r="D160" s="1">
        <v>45024</v>
      </c>
      <c r="E160">
        <v>4687.68</v>
      </c>
      <c r="F160" t="s">
        <v>652</v>
      </c>
      <c r="G160" t="s">
        <v>645</v>
      </c>
    </row>
    <row r="161" spans="1:7" x14ac:dyDescent="0.35">
      <c r="A161" t="s">
        <v>808</v>
      </c>
      <c r="B161" t="s">
        <v>37</v>
      </c>
      <c r="C161" t="s">
        <v>597</v>
      </c>
      <c r="D161" s="1">
        <v>45277</v>
      </c>
      <c r="E161">
        <v>1023.65</v>
      </c>
      <c r="F161" t="s">
        <v>655</v>
      </c>
      <c r="G161" t="s">
        <v>647</v>
      </c>
    </row>
    <row r="162" spans="1:7" x14ac:dyDescent="0.35">
      <c r="A162" t="s">
        <v>809</v>
      </c>
      <c r="B162" t="s">
        <v>28</v>
      </c>
      <c r="C162" t="s">
        <v>598</v>
      </c>
      <c r="D162" s="1">
        <v>45094</v>
      </c>
      <c r="E162">
        <v>4178.5200000000004</v>
      </c>
      <c r="F162" t="s">
        <v>644</v>
      </c>
      <c r="G162" t="s">
        <v>647</v>
      </c>
    </row>
    <row r="163" spans="1:7" x14ac:dyDescent="0.35">
      <c r="A163" t="s">
        <v>810</v>
      </c>
      <c r="B163" t="s">
        <v>234</v>
      </c>
      <c r="C163" t="s">
        <v>599</v>
      </c>
      <c r="D163" s="1">
        <v>44927</v>
      </c>
      <c r="E163">
        <v>2212.8000000000002</v>
      </c>
      <c r="F163" t="s">
        <v>655</v>
      </c>
      <c r="G163" t="s">
        <v>647</v>
      </c>
    </row>
    <row r="164" spans="1:7" x14ac:dyDescent="0.35">
      <c r="A164" t="s">
        <v>811</v>
      </c>
      <c r="B164" t="s">
        <v>37</v>
      </c>
      <c r="C164" t="s">
        <v>600</v>
      </c>
      <c r="D164" s="1">
        <v>45104</v>
      </c>
      <c r="E164">
        <v>4450.88</v>
      </c>
      <c r="F164" t="s">
        <v>644</v>
      </c>
      <c r="G164" t="s">
        <v>645</v>
      </c>
    </row>
    <row r="165" spans="1:7" x14ac:dyDescent="0.35">
      <c r="A165" t="s">
        <v>812</v>
      </c>
      <c r="B165" t="s">
        <v>61</v>
      </c>
      <c r="C165" t="s">
        <v>601</v>
      </c>
      <c r="D165" s="1">
        <v>45135</v>
      </c>
      <c r="E165">
        <v>4406.26</v>
      </c>
      <c r="F165" t="s">
        <v>652</v>
      </c>
      <c r="G165" t="s">
        <v>650</v>
      </c>
    </row>
    <row r="166" spans="1:7" x14ac:dyDescent="0.35">
      <c r="A166" t="s">
        <v>813</v>
      </c>
      <c r="B166" t="s">
        <v>97</v>
      </c>
      <c r="C166" t="s">
        <v>602</v>
      </c>
      <c r="D166" s="1">
        <v>45020</v>
      </c>
      <c r="E166">
        <v>4126.66</v>
      </c>
      <c r="F166" t="s">
        <v>655</v>
      </c>
      <c r="G166" t="s">
        <v>650</v>
      </c>
    </row>
    <row r="167" spans="1:7" x14ac:dyDescent="0.35">
      <c r="A167" t="s">
        <v>814</v>
      </c>
      <c r="B167" t="s">
        <v>40</v>
      </c>
      <c r="C167" t="s">
        <v>603</v>
      </c>
      <c r="D167" s="1">
        <v>44938</v>
      </c>
      <c r="E167">
        <v>4055.14</v>
      </c>
      <c r="F167" t="s">
        <v>655</v>
      </c>
      <c r="G167" t="s">
        <v>650</v>
      </c>
    </row>
    <row r="168" spans="1:7" x14ac:dyDescent="0.35">
      <c r="A168" t="s">
        <v>815</v>
      </c>
      <c r="B168" t="s">
        <v>125</v>
      </c>
      <c r="C168" t="s">
        <v>604</v>
      </c>
      <c r="D168" s="1">
        <v>45245</v>
      </c>
      <c r="E168">
        <v>1871.06</v>
      </c>
      <c r="F168" t="s">
        <v>652</v>
      </c>
      <c r="G168" t="s">
        <v>645</v>
      </c>
    </row>
    <row r="169" spans="1:7" x14ac:dyDescent="0.35">
      <c r="A169" t="s">
        <v>816</v>
      </c>
      <c r="B169" t="s">
        <v>90</v>
      </c>
      <c r="C169" t="s">
        <v>605</v>
      </c>
      <c r="D169" s="1">
        <v>45198</v>
      </c>
      <c r="E169">
        <v>864.14</v>
      </c>
      <c r="F169" t="s">
        <v>652</v>
      </c>
      <c r="G169" t="s">
        <v>650</v>
      </c>
    </row>
    <row r="170" spans="1:7" x14ac:dyDescent="0.35">
      <c r="A170" t="s">
        <v>817</v>
      </c>
      <c r="B170" t="s">
        <v>45</v>
      </c>
      <c r="C170" t="s">
        <v>606</v>
      </c>
      <c r="D170" s="1">
        <v>45131</v>
      </c>
      <c r="E170">
        <v>2313.41</v>
      </c>
      <c r="F170" t="s">
        <v>652</v>
      </c>
      <c r="G170" t="s">
        <v>645</v>
      </c>
    </row>
    <row r="171" spans="1:7" x14ac:dyDescent="0.35">
      <c r="A171" t="s">
        <v>818</v>
      </c>
      <c r="B171" t="s">
        <v>129</v>
      </c>
      <c r="C171" t="s">
        <v>607</v>
      </c>
      <c r="D171" s="1">
        <v>44988</v>
      </c>
      <c r="E171">
        <v>1280.8599999999999</v>
      </c>
      <c r="F171" t="s">
        <v>655</v>
      </c>
      <c r="G171" t="s">
        <v>650</v>
      </c>
    </row>
    <row r="172" spans="1:7" x14ac:dyDescent="0.35">
      <c r="A172" t="s">
        <v>819</v>
      </c>
      <c r="B172" t="s">
        <v>168</v>
      </c>
      <c r="C172" t="s">
        <v>608</v>
      </c>
      <c r="D172" s="1">
        <v>45034</v>
      </c>
      <c r="E172">
        <v>3627.28</v>
      </c>
      <c r="F172" t="s">
        <v>644</v>
      </c>
      <c r="G172" t="s">
        <v>650</v>
      </c>
    </row>
    <row r="173" spans="1:7" x14ac:dyDescent="0.35">
      <c r="A173" t="s">
        <v>820</v>
      </c>
      <c r="B173" t="s">
        <v>185</v>
      </c>
      <c r="C173" t="s">
        <v>609</v>
      </c>
      <c r="D173" s="1">
        <v>44994</v>
      </c>
      <c r="E173">
        <v>2057.4499999999998</v>
      </c>
      <c r="F173" t="s">
        <v>655</v>
      </c>
      <c r="G173" t="s">
        <v>647</v>
      </c>
    </row>
    <row r="174" spans="1:7" x14ac:dyDescent="0.35">
      <c r="A174" t="s">
        <v>821</v>
      </c>
      <c r="B174" t="s">
        <v>66</v>
      </c>
      <c r="C174" t="s">
        <v>610</v>
      </c>
      <c r="D174" s="1">
        <v>45081</v>
      </c>
      <c r="E174">
        <v>4890.25</v>
      </c>
      <c r="F174" t="s">
        <v>644</v>
      </c>
      <c r="G174" t="s">
        <v>645</v>
      </c>
    </row>
    <row r="175" spans="1:7" x14ac:dyDescent="0.35">
      <c r="A175" t="s">
        <v>822</v>
      </c>
      <c r="B175" t="s">
        <v>50</v>
      </c>
      <c r="C175" t="s">
        <v>611</v>
      </c>
      <c r="D175" s="1">
        <v>45230</v>
      </c>
      <c r="E175">
        <v>3384.37</v>
      </c>
      <c r="F175" t="s">
        <v>655</v>
      </c>
      <c r="G175" t="s">
        <v>647</v>
      </c>
    </row>
    <row r="176" spans="1:7" x14ac:dyDescent="0.35">
      <c r="A176" t="s">
        <v>823</v>
      </c>
      <c r="B176" t="s">
        <v>177</v>
      </c>
      <c r="C176" t="s">
        <v>612</v>
      </c>
      <c r="D176" s="1">
        <v>45221</v>
      </c>
      <c r="E176">
        <v>4201.16</v>
      </c>
      <c r="F176" t="s">
        <v>655</v>
      </c>
      <c r="G176" t="s">
        <v>647</v>
      </c>
    </row>
    <row r="177" spans="1:7" x14ac:dyDescent="0.35">
      <c r="A177" t="s">
        <v>824</v>
      </c>
      <c r="B177" t="s">
        <v>92</v>
      </c>
      <c r="C177" t="s">
        <v>613</v>
      </c>
      <c r="D177" s="1">
        <v>45042</v>
      </c>
      <c r="E177">
        <v>1096.3599999999999</v>
      </c>
      <c r="F177" t="s">
        <v>652</v>
      </c>
      <c r="G177" t="s">
        <v>647</v>
      </c>
    </row>
    <row r="178" spans="1:7" x14ac:dyDescent="0.35">
      <c r="A178" t="s">
        <v>825</v>
      </c>
      <c r="B178" t="s">
        <v>139</v>
      </c>
      <c r="C178" t="s">
        <v>614</v>
      </c>
      <c r="D178" s="1">
        <v>45154</v>
      </c>
      <c r="E178">
        <v>4379.07</v>
      </c>
      <c r="F178" t="s">
        <v>644</v>
      </c>
      <c r="G178" t="s">
        <v>645</v>
      </c>
    </row>
    <row r="179" spans="1:7" x14ac:dyDescent="0.35">
      <c r="A179" t="s">
        <v>826</v>
      </c>
      <c r="B179" t="s">
        <v>151</v>
      </c>
      <c r="C179" t="s">
        <v>615</v>
      </c>
      <c r="D179" s="1">
        <v>44943</v>
      </c>
      <c r="E179">
        <v>4652.41</v>
      </c>
      <c r="F179" t="s">
        <v>655</v>
      </c>
      <c r="G179" t="s">
        <v>645</v>
      </c>
    </row>
    <row r="180" spans="1:7" x14ac:dyDescent="0.35">
      <c r="A180" t="s">
        <v>827</v>
      </c>
      <c r="B180" t="s">
        <v>252</v>
      </c>
      <c r="C180" t="s">
        <v>616</v>
      </c>
      <c r="D180" s="1">
        <v>44993</v>
      </c>
      <c r="E180">
        <v>2691.78</v>
      </c>
      <c r="F180" t="s">
        <v>655</v>
      </c>
      <c r="G180" t="s">
        <v>650</v>
      </c>
    </row>
    <row r="181" spans="1:7" x14ac:dyDescent="0.35">
      <c r="A181" t="s">
        <v>828</v>
      </c>
      <c r="B181" t="s">
        <v>163</v>
      </c>
      <c r="C181" t="s">
        <v>617</v>
      </c>
      <c r="D181" s="1">
        <v>44933</v>
      </c>
      <c r="E181">
        <v>3228.14</v>
      </c>
      <c r="F181" t="s">
        <v>652</v>
      </c>
      <c r="G181" t="s">
        <v>647</v>
      </c>
    </row>
    <row r="182" spans="1:7" x14ac:dyDescent="0.35">
      <c r="A182" t="s">
        <v>829</v>
      </c>
      <c r="B182" t="s">
        <v>72</v>
      </c>
      <c r="C182" t="s">
        <v>618</v>
      </c>
      <c r="D182" s="1">
        <v>45172</v>
      </c>
      <c r="E182">
        <v>3941.64</v>
      </c>
      <c r="F182" t="s">
        <v>652</v>
      </c>
      <c r="G182" t="s">
        <v>650</v>
      </c>
    </row>
    <row r="183" spans="1:7" x14ac:dyDescent="0.35">
      <c r="A183" t="s">
        <v>830</v>
      </c>
      <c r="B183" t="s">
        <v>142</v>
      </c>
      <c r="C183" t="s">
        <v>619</v>
      </c>
      <c r="D183" s="1">
        <v>45028</v>
      </c>
      <c r="E183">
        <v>1286.77</v>
      </c>
      <c r="F183" t="s">
        <v>644</v>
      </c>
      <c r="G183" t="s">
        <v>647</v>
      </c>
    </row>
    <row r="184" spans="1:7" x14ac:dyDescent="0.35">
      <c r="A184" t="s">
        <v>831</v>
      </c>
      <c r="B184" t="s">
        <v>24</v>
      </c>
      <c r="C184" t="s">
        <v>620</v>
      </c>
      <c r="D184" s="1">
        <v>44960</v>
      </c>
      <c r="E184">
        <v>2761.55</v>
      </c>
      <c r="F184" t="s">
        <v>655</v>
      </c>
      <c r="G184" t="s">
        <v>645</v>
      </c>
    </row>
    <row r="185" spans="1:7" x14ac:dyDescent="0.35">
      <c r="A185" t="s">
        <v>832</v>
      </c>
      <c r="B185" t="s">
        <v>234</v>
      </c>
      <c r="C185" t="s">
        <v>621</v>
      </c>
      <c r="D185" s="1">
        <v>44983</v>
      </c>
      <c r="E185">
        <v>2293.98</v>
      </c>
      <c r="F185" t="s">
        <v>644</v>
      </c>
      <c r="G185" t="s">
        <v>645</v>
      </c>
    </row>
    <row r="186" spans="1:7" x14ac:dyDescent="0.35">
      <c r="A186" t="s">
        <v>833</v>
      </c>
      <c r="B186" t="s">
        <v>177</v>
      </c>
      <c r="C186" t="s">
        <v>622</v>
      </c>
      <c r="D186" s="1">
        <v>45006</v>
      </c>
      <c r="E186">
        <v>1158.68</v>
      </c>
      <c r="F186" t="s">
        <v>655</v>
      </c>
      <c r="G186" t="s">
        <v>645</v>
      </c>
    </row>
    <row r="187" spans="1:7" x14ac:dyDescent="0.35">
      <c r="A187" t="s">
        <v>834</v>
      </c>
      <c r="B187" t="s">
        <v>123</v>
      </c>
      <c r="C187" t="s">
        <v>623</v>
      </c>
      <c r="D187" s="1">
        <v>45012</v>
      </c>
      <c r="E187">
        <v>2153.9</v>
      </c>
      <c r="F187" t="s">
        <v>644</v>
      </c>
      <c r="G187" t="s">
        <v>647</v>
      </c>
    </row>
    <row r="188" spans="1:7" x14ac:dyDescent="0.35">
      <c r="A188" t="s">
        <v>835</v>
      </c>
      <c r="B188" t="s">
        <v>117</v>
      </c>
      <c r="C188" t="s">
        <v>624</v>
      </c>
      <c r="D188" s="1">
        <v>44970</v>
      </c>
      <c r="E188">
        <v>806.78</v>
      </c>
      <c r="F188" t="s">
        <v>652</v>
      </c>
      <c r="G188" t="s">
        <v>645</v>
      </c>
    </row>
    <row r="189" spans="1:7" x14ac:dyDescent="0.35">
      <c r="A189" t="s">
        <v>836</v>
      </c>
      <c r="B189" t="s">
        <v>112</v>
      </c>
      <c r="C189" t="s">
        <v>625</v>
      </c>
      <c r="D189" s="1">
        <v>45028</v>
      </c>
      <c r="E189">
        <v>616.15</v>
      </c>
      <c r="F189" t="s">
        <v>655</v>
      </c>
      <c r="G189" t="s">
        <v>647</v>
      </c>
    </row>
    <row r="190" spans="1:7" x14ac:dyDescent="0.35">
      <c r="A190" t="s">
        <v>837</v>
      </c>
      <c r="B190" t="s">
        <v>40</v>
      </c>
      <c r="C190" t="s">
        <v>626</v>
      </c>
      <c r="D190" s="1">
        <v>45204</v>
      </c>
      <c r="E190">
        <v>1108.25</v>
      </c>
      <c r="F190" t="s">
        <v>644</v>
      </c>
      <c r="G190" t="s">
        <v>650</v>
      </c>
    </row>
    <row r="191" spans="1:7" x14ac:dyDescent="0.35">
      <c r="A191" t="s">
        <v>838</v>
      </c>
      <c r="B191" t="s">
        <v>45</v>
      </c>
      <c r="C191" t="s">
        <v>627</v>
      </c>
      <c r="D191" s="1">
        <v>45246</v>
      </c>
      <c r="E191">
        <v>4834.0200000000004</v>
      </c>
      <c r="F191" t="s">
        <v>652</v>
      </c>
      <c r="G191" t="s">
        <v>647</v>
      </c>
    </row>
    <row r="192" spans="1:7" x14ac:dyDescent="0.35">
      <c r="A192" t="s">
        <v>839</v>
      </c>
      <c r="B192" t="s">
        <v>56</v>
      </c>
      <c r="C192" t="s">
        <v>628</v>
      </c>
      <c r="D192" s="1">
        <v>45028</v>
      </c>
      <c r="E192">
        <v>2972.88</v>
      </c>
      <c r="F192" t="s">
        <v>652</v>
      </c>
      <c r="G192" t="s">
        <v>650</v>
      </c>
    </row>
    <row r="193" spans="1:7" x14ac:dyDescent="0.35">
      <c r="A193" t="s">
        <v>840</v>
      </c>
      <c r="B193" t="s">
        <v>252</v>
      </c>
      <c r="C193" t="s">
        <v>629</v>
      </c>
      <c r="D193" s="1">
        <v>45169</v>
      </c>
      <c r="E193">
        <v>4846.2</v>
      </c>
      <c r="F193" t="s">
        <v>644</v>
      </c>
      <c r="G193" t="s">
        <v>647</v>
      </c>
    </row>
    <row r="194" spans="1:7" x14ac:dyDescent="0.35">
      <c r="A194" t="s">
        <v>841</v>
      </c>
      <c r="B194" t="s">
        <v>100</v>
      </c>
      <c r="C194" t="s">
        <v>630</v>
      </c>
      <c r="D194" s="1">
        <v>45184</v>
      </c>
      <c r="E194">
        <v>2446.2399999999998</v>
      </c>
      <c r="F194" t="s">
        <v>655</v>
      </c>
      <c r="G194" t="s">
        <v>650</v>
      </c>
    </row>
    <row r="195" spans="1:7" x14ac:dyDescent="0.35">
      <c r="A195" t="s">
        <v>842</v>
      </c>
      <c r="B195" t="s">
        <v>154</v>
      </c>
      <c r="C195" t="s">
        <v>631</v>
      </c>
      <c r="D195" s="1">
        <v>45022</v>
      </c>
      <c r="E195">
        <v>1903.17</v>
      </c>
      <c r="F195" t="s">
        <v>655</v>
      </c>
      <c r="G195" t="s">
        <v>645</v>
      </c>
    </row>
    <row r="196" spans="1:7" x14ac:dyDescent="0.35">
      <c r="A196" t="s">
        <v>843</v>
      </c>
      <c r="B196" t="s">
        <v>17</v>
      </c>
      <c r="C196" t="s">
        <v>632</v>
      </c>
      <c r="D196" s="1">
        <v>45157</v>
      </c>
      <c r="E196">
        <v>2777.64</v>
      </c>
      <c r="F196" t="s">
        <v>652</v>
      </c>
      <c r="G196" t="s">
        <v>650</v>
      </c>
    </row>
    <row r="197" spans="1:7" x14ac:dyDescent="0.35">
      <c r="A197" t="s">
        <v>844</v>
      </c>
      <c r="B197" t="s">
        <v>28</v>
      </c>
      <c r="C197" t="s">
        <v>633</v>
      </c>
      <c r="D197" s="1">
        <v>45225</v>
      </c>
      <c r="E197">
        <v>2477.8000000000002</v>
      </c>
      <c r="F197" t="s">
        <v>655</v>
      </c>
      <c r="G197" t="s">
        <v>645</v>
      </c>
    </row>
    <row r="198" spans="1:7" x14ac:dyDescent="0.35">
      <c r="A198" t="s">
        <v>845</v>
      </c>
      <c r="B198" t="s">
        <v>31</v>
      </c>
      <c r="C198" t="s">
        <v>634</v>
      </c>
      <c r="D198" s="1">
        <v>45017</v>
      </c>
      <c r="E198">
        <v>975.49</v>
      </c>
      <c r="F198" t="s">
        <v>655</v>
      </c>
      <c r="G198" t="s">
        <v>645</v>
      </c>
    </row>
    <row r="199" spans="1:7" x14ac:dyDescent="0.35">
      <c r="A199" t="s">
        <v>846</v>
      </c>
      <c r="B199" t="s">
        <v>43</v>
      </c>
      <c r="C199" t="s">
        <v>635</v>
      </c>
      <c r="D199" s="1">
        <v>45061</v>
      </c>
      <c r="E199">
        <v>3383.72</v>
      </c>
      <c r="F199" t="s">
        <v>655</v>
      </c>
      <c r="G199" t="s">
        <v>650</v>
      </c>
    </row>
    <row r="200" spans="1:7" x14ac:dyDescent="0.35">
      <c r="A200" t="s">
        <v>847</v>
      </c>
      <c r="B200" t="s">
        <v>151</v>
      </c>
      <c r="C200" t="s">
        <v>636</v>
      </c>
      <c r="D200" s="1">
        <v>45047</v>
      </c>
      <c r="E200">
        <v>1472.17</v>
      </c>
      <c r="F200" t="s">
        <v>652</v>
      </c>
      <c r="G200" t="s">
        <v>647</v>
      </c>
    </row>
    <row r="201" spans="1:7" x14ac:dyDescent="0.35">
      <c r="A201" t="s">
        <v>848</v>
      </c>
      <c r="B201" t="s">
        <v>163</v>
      </c>
      <c r="C201" t="s">
        <v>637</v>
      </c>
      <c r="D201" s="1">
        <v>45290</v>
      </c>
      <c r="E201">
        <v>3288.15</v>
      </c>
      <c r="F201" t="s">
        <v>644</v>
      </c>
      <c r="G201" t="s">
        <v>647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4C16-FBFB-4A28-A941-664F8D278C51}">
  <dimension ref="A1:F201"/>
  <sheetViews>
    <sheetView workbookViewId="0">
      <selection activeCell="I13" sqref="I13"/>
    </sheetView>
  </sheetViews>
  <sheetFormatPr defaultRowHeight="14.5" x14ac:dyDescent="0.35"/>
  <cols>
    <col min="1" max="1" width="13.81640625" bestFit="1" customWidth="1"/>
    <col min="2" max="2" width="16.453125" bestFit="1" customWidth="1"/>
    <col min="3" max="3" width="15.90625" bestFit="1" customWidth="1"/>
    <col min="4" max="4" width="16.81640625" bestFit="1" customWidth="1"/>
    <col min="5" max="5" width="7.81640625" bestFit="1" customWidth="1"/>
    <col min="6" max="6" width="16" bestFit="1" customWidth="1"/>
  </cols>
  <sheetData>
    <row r="1" spans="1:6" x14ac:dyDescent="0.35">
      <c r="A1" t="s">
        <v>425</v>
      </c>
      <c r="B1" t="s">
        <v>0</v>
      </c>
      <c r="C1" t="s">
        <v>426</v>
      </c>
      <c r="D1" t="s">
        <v>427</v>
      </c>
      <c r="E1" t="s">
        <v>428</v>
      </c>
      <c r="F1" t="s">
        <v>429</v>
      </c>
    </row>
    <row r="2" spans="1:6" x14ac:dyDescent="0.35">
      <c r="A2" t="s">
        <v>430</v>
      </c>
      <c r="B2" t="s">
        <v>7</v>
      </c>
      <c r="C2" t="s">
        <v>431</v>
      </c>
      <c r="D2" t="s">
        <v>432</v>
      </c>
      <c r="E2">
        <v>3941.97</v>
      </c>
      <c r="F2" s="1">
        <v>45147</v>
      </c>
    </row>
    <row r="3" spans="1:6" x14ac:dyDescent="0.35">
      <c r="A3" t="s">
        <v>433</v>
      </c>
      <c r="B3" t="s">
        <v>12</v>
      </c>
      <c r="C3" t="s">
        <v>434</v>
      </c>
      <c r="D3" t="s">
        <v>435</v>
      </c>
      <c r="E3">
        <v>4158.4399999999996</v>
      </c>
      <c r="F3" s="1">
        <v>45086</v>
      </c>
    </row>
    <row r="4" spans="1:6" x14ac:dyDescent="0.35">
      <c r="A4" t="s">
        <v>436</v>
      </c>
      <c r="B4" t="s">
        <v>16</v>
      </c>
      <c r="C4" t="s">
        <v>434</v>
      </c>
      <c r="D4" t="s">
        <v>437</v>
      </c>
      <c r="E4">
        <v>3731.55</v>
      </c>
      <c r="F4" s="1">
        <v>45105</v>
      </c>
    </row>
    <row r="5" spans="1:6" x14ac:dyDescent="0.35">
      <c r="A5" t="s">
        <v>438</v>
      </c>
      <c r="B5" t="s">
        <v>20</v>
      </c>
      <c r="C5" t="s">
        <v>434</v>
      </c>
      <c r="D5" t="s">
        <v>432</v>
      </c>
      <c r="E5">
        <v>4799.8599999999997</v>
      </c>
      <c r="F5" s="1">
        <v>45170</v>
      </c>
    </row>
    <row r="6" spans="1:6" x14ac:dyDescent="0.35">
      <c r="A6" t="s">
        <v>439</v>
      </c>
      <c r="B6" t="s">
        <v>23</v>
      </c>
      <c r="C6" t="s">
        <v>440</v>
      </c>
      <c r="D6" t="s">
        <v>437</v>
      </c>
      <c r="E6">
        <v>582.04999999999995</v>
      </c>
      <c r="F6" s="1">
        <v>45113</v>
      </c>
    </row>
    <row r="7" spans="1:6" x14ac:dyDescent="0.35">
      <c r="A7" t="s">
        <v>441</v>
      </c>
      <c r="B7" t="s">
        <v>27</v>
      </c>
      <c r="C7" t="s">
        <v>431</v>
      </c>
      <c r="D7" t="s">
        <v>437</v>
      </c>
      <c r="E7">
        <v>1381</v>
      </c>
      <c r="F7" s="1">
        <v>45096</v>
      </c>
    </row>
    <row r="8" spans="1:6" x14ac:dyDescent="0.35">
      <c r="A8" t="s">
        <v>442</v>
      </c>
      <c r="B8" t="s">
        <v>30</v>
      </c>
      <c r="C8" t="s">
        <v>431</v>
      </c>
      <c r="D8" t="s">
        <v>435</v>
      </c>
      <c r="E8">
        <v>534.03</v>
      </c>
      <c r="F8" s="1">
        <v>45025</v>
      </c>
    </row>
    <row r="9" spans="1:6" x14ac:dyDescent="0.35">
      <c r="A9" t="s">
        <v>443</v>
      </c>
      <c r="B9" t="s">
        <v>33</v>
      </c>
      <c r="C9" t="s">
        <v>444</v>
      </c>
      <c r="D9" t="s">
        <v>432</v>
      </c>
      <c r="E9">
        <v>3413.64</v>
      </c>
      <c r="F9" s="1">
        <v>45070</v>
      </c>
    </row>
    <row r="10" spans="1:6" x14ac:dyDescent="0.35">
      <c r="A10" t="s">
        <v>445</v>
      </c>
      <c r="B10" t="s">
        <v>36</v>
      </c>
      <c r="C10" t="s">
        <v>444</v>
      </c>
      <c r="D10" t="s">
        <v>437</v>
      </c>
      <c r="E10">
        <v>4541.1400000000003</v>
      </c>
      <c r="F10" s="1">
        <v>44990</v>
      </c>
    </row>
    <row r="11" spans="1:6" x14ac:dyDescent="0.35">
      <c r="A11" t="s">
        <v>446</v>
      </c>
      <c r="B11" t="s">
        <v>39</v>
      </c>
      <c r="C11" t="s">
        <v>444</v>
      </c>
      <c r="D11" t="s">
        <v>437</v>
      </c>
      <c r="E11">
        <v>1595.67</v>
      </c>
      <c r="F11" s="1">
        <v>44939</v>
      </c>
    </row>
    <row r="12" spans="1:6" x14ac:dyDescent="0.35">
      <c r="A12" t="s">
        <v>447</v>
      </c>
      <c r="B12" t="s">
        <v>42</v>
      </c>
      <c r="C12" t="s">
        <v>434</v>
      </c>
      <c r="D12" t="s">
        <v>432</v>
      </c>
      <c r="E12">
        <v>4671.66</v>
      </c>
      <c r="F12" s="1">
        <v>45242</v>
      </c>
    </row>
    <row r="13" spans="1:6" x14ac:dyDescent="0.35">
      <c r="A13" t="s">
        <v>448</v>
      </c>
      <c r="B13" t="s">
        <v>44</v>
      </c>
      <c r="C13" t="s">
        <v>431</v>
      </c>
      <c r="D13" t="s">
        <v>437</v>
      </c>
      <c r="E13">
        <v>771.2</v>
      </c>
      <c r="F13" s="1">
        <v>45053</v>
      </c>
    </row>
    <row r="14" spans="1:6" x14ac:dyDescent="0.35">
      <c r="A14" t="s">
        <v>449</v>
      </c>
      <c r="B14" t="s">
        <v>46</v>
      </c>
      <c r="C14" t="s">
        <v>434</v>
      </c>
      <c r="D14" t="s">
        <v>437</v>
      </c>
      <c r="E14">
        <v>4704.96</v>
      </c>
      <c r="F14" s="1">
        <v>45154</v>
      </c>
    </row>
    <row r="15" spans="1:6" x14ac:dyDescent="0.35">
      <c r="A15" t="s">
        <v>450</v>
      </c>
      <c r="B15" t="s">
        <v>49</v>
      </c>
      <c r="C15" t="s">
        <v>440</v>
      </c>
      <c r="D15" t="s">
        <v>432</v>
      </c>
      <c r="E15">
        <v>2082.3000000000002</v>
      </c>
      <c r="F15" s="1">
        <v>45071</v>
      </c>
    </row>
    <row r="16" spans="1:6" x14ac:dyDescent="0.35">
      <c r="A16" t="s">
        <v>451</v>
      </c>
      <c r="B16" t="s">
        <v>51</v>
      </c>
      <c r="C16" t="s">
        <v>444</v>
      </c>
      <c r="D16" t="s">
        <v>432</v>
      </c>
      <c r="E16">
        <v>956.39</v>
      </c>
      <c r="F16" s="1">
        <v>44941</v>
      </c>
    </row>
    <row r="17" spans="1:6" x14ac:dyDescent="0.35">
      <c r="A17" t="s">
        <v>452</v>
      </c>
      <c r="B17" t="s">
        <v>53</v>
      </c>
      <c r="C17" t="s">
        <v>434</v>
      </c>
      <c r="D17" t="s">
        <v>432</v>
      </c>
      <c r="E17">
        <v>2686.42</v>
      </c>
      <c r="F17" s="1">
        <v>45107</v>
      </c>
    </row>
    <row r="18" spans="1:6" x14ac:dyDescent="0.35">
      <c r="A18" t="s">
        <v>453</v>
      </c>
      <c r="B18" t="s">
        <v>55</v>
      </c>
      <c r="C18" t="s">
        <v>434</v>
      </c>
      <c r="D18" t="s">
        <v>432</v>
      </c>
      <c r="E18">
        <v>1655.49</v>
      </c>
      <c r="F18" s="1">
        <v>45118</v>
      </c>
    </row>
    <row r="19" spans="1:6" x14ac:dyDescent="0.35">
      <c r="A19" t="s">
        <v>454</v>
      </c>
      <c r="B19" t="s">
        <v>57</v>
      </c>
      <c r="C19" t="s">
        <v>440</v>
      </c>
      <c r="D19" t="s">
        <v>435</v>
      </c>
      <c r="E19">
        <v>1781.93</v>
      </c>
      <c r="F19" s="1">
        <v>45244</v>
      </c>
    </row>
    <row r="20" spans="1:6" x14ac:dyDescent="0.35">
      <c r="A20" t="s">
        <v>455</v>
      </c>
      <c r="B20" t="s">
        <v>58</v>
      </c>
      <c r="C20" t="s">
        <v>456</v>
      </c>
      <c r="D20" t="s">
        <v>432</v>
      </c>
      <c r="E20">
        <v>1882.8</v>
      </c>
      <c r="F20" s="1">
        <v>44963</v>
      </c>
    </row>
    <row r="21" spans="1:6" x14ac:dyDescent="0.35">
      <c r="A21" t="s">
        <v>457</v>
      </c>
      <c r="B21" t="s">
        <v>60</v>
      </c>
      <c r="C21" t="s">
        <v>431</v>
      </c>
      <c r="D21" t="s">
        <v>435</v>
      </c>
      <c r="E21">
        <v>4113.62</v>
      </c>
      <c r="F21" s="1">
        <v>45265</v>
      </c>
    </row>
    <row r="22" spans="1:6" x14ac:dyDescent="0.35">
      <c r="A22" t="s">
        <v>458</v>
      </c>
      <c r="B22" t="s">
        <v>62</v>
      </c>
      <c r="C22" t="s">
        <v>456</v>
      </c>
      <c r="D22" t="s">
        <v>435</v>
      </c>
      <c r="E22">
        <v>2926.23</v>
      </c>
      <c r="F22" s="1">
        <v>45040</v>
      </c>
    </row>
    <row r="23" spans="1:6" x14ac:dyDescent="0.35">
      <c r="A23" t="s">
        <v>459</v>
      </c>
      <c r="B23" t="s">
        <v>64</v>
      </c>
      <c r="C23" t="s">
        <v>444</v>
      </c>
      <c r="D23" t="s">
        <v>435</v>
      </c>
      <c r="E23">
        <v>1900.88</v>
      </c>
      <c r="F23" s="1">
        <v>45244</v>
      </c>
    </row>
    <row r="24" spans="1:6" x14ac:dyDescent="0.35">
      <c r="A24" t="s">
        <v>460</v>
      </c>
      <c r="B24" t="s">
        <v>65</v>
      </c>
      <c r="C24" t="s">
        <v>434</v>
      </c>
      <c r="D24" t="s">
        <v>437</v>
      </c>
      <c r="E24">
        <v>3246.5</v>
      </c>
      <c r="F24" s="1">
        <v>45055</v>
      </c>
    </row>
    <row r="25" spans="1:6" x14ac:dyDescent="0.35">
      <c r="A25" t="s">
        <v>461</v>
      </c>
      <c r="B25" t="s">
        <v>67</v>
      </c>
      <c r="C25" t="s">
        <v>440</v>
      </c>
      <c r="D25" t="s">
        <v>435</v>
      </c>
      <c r="E25">
        <v>3722.68</v>
      </c>
      <c r="F25" s="1">
        <v>45098</v>
      </c>
    </row>
    <row r="26" spans="1:6" x14ac:dyDescent="0.35">
      <c r="A26" t="s">
        <v>462</v>
      </c>
      <c r="B26" t="s">
        <v>69</v>
      </c>
      <c r="C26" t="s">
        <v>440</v>
      </c>
      <c r="D26" t="s">
        <v>435</v>
      </c>
      <c r="E26">
        <v>1726.81</v>
      </c>
      <c r="F26" s="1">
        <v>44982</v>
      </c>
    </row>
    <row r="27" spans="1:6" x14ac:dyDescent="0.35">
      <c r="A27" t="s">
        <v>463</v>
      </c>
      <c r="B27" t="s">
        <v>71</v>
      </c>
      <c r="C27" t="s">
        <v>431</v>
      </c>
      <c r="D27" t="s">
        <v>437</v>
      </c>
      <c r="E27">
        <v>2360.9699999999998</v>
      </c>
      <c r="F27" s="1">
        <v>45002</v>
      </c>
    </row>
    <row r="28" spans="1:6" x14ac:dyDescent="0.35">
      <c r="A28" t="s">
        <v>464</v>
      </c>
      <c r="B28" t="s">
        <v>73</v>
      </c>
      <c r="C28" t="s">
        <v>456</v>
      </c>
      <c r="D28" t="s">
        <v>437</v>
      </c>
      <c r="E28">
        <v>1048.49</v>
      </c>
      <c r="F28" s="1">
        <v>45244</v>
      </c>
    </row>
    <row r="29" spans="1:6" x14ac:dyDescent="0.35">
      <c r="A29" t="s">
        <v>465</v>
      </c>
      <c r="B29" t="s">
        <v>75</v>
      </c>
      <c r="C29" t="s">
        <v>431</v>
      </c>
      <c r="D29" t="s">
        <v>437</v>
      </c>
      <c r="E29">
        <v>1315.17</v>
      </c>
      <c r="F29" s="1">
        <v>45228</v>
      </c>
    </row>
    <row r="30" spans="1:6" x14ac:dyDescent="0.35">
      <c r="A30" t="s">
        <v>466</v>
      </c>
      <c r="B30" t="s">
        <v>76</v>
      </c>
      <c r="C30" t="s">
        <v>434</v>
      </c>
      <c r="D30" t="s">
        <v>432</v>
      </c>
      <c r="E30">
        <v>3565.03</v>
      </c>
      <c r="F30" s="1">
        <v>45102</v>
      </c>
    </row>
    <row r="31" spans="1:6" x14ac:dyDescent="0.35">
      <c r="A31" t="s">
        <v>467</v>
      </c>
      <c r="B31" t="s">
        <v>77</v>
      </c>
      <c r="C31" t="s">
        <v>431</v>
      </c>
      <c r="D31" t="s">
        <v>437</v>
      </c>
      <c r="E31">
        <v>1316.47</v>
      </c>
      <c r="F31" s="1">
        <v>45167</v>
      </c>
    </row>
    <row r="32" spans="1:6" x14ac:dyDescent="0.35">
      <c r="A32" t="s">
        <v>468</v>
      </c>
      <c r="B32" t="s">
        <v>78</v>
      </c>
      <c r="C32" t="s">
        <v>440</v>
      </c>
      <c r="D32" t="s">
        <v>437</v>
      </c>
      <c r="E32">
        <v>2863.24</v>
      </c>
      <c r="F32" s="1">
        <v>45020</v>
      </c>
    </row>
    <row r="33" spans="1:6" x14ac:dyDescent="0.35">
      <c r="A33" t="s">
        <v>469</v>
      </c>
      <c r="B33" t="s">
        <v>79</v>
      </c>
      <c r="C33" t="s">
        <v>440</v>
      </c>
      <c r="D33" t="s">
        <v>435</v>
      </c>
      <c r="E33">
        <v>3690.71</v>
      </c>
      <c r="F33" s="1">
        <v>45236</v>
      </c>
    </row>
    <row r="34" spans="1:6" x14ac:dyDescent="0.35">
      <c r="A34" t="s">
        <v>470</v>
      </c>
      <c r="B34" t="s">
        <v>80</v>
      </c>
      <c r="C34" t="s">
        <v>444</v>
      </c>
      <c r="D34" t="s">
        <v>437</v>
      </c>
      <c r="E34">
        <v>980.95</v>
      </c>
      <c r="F34" s="1">
        <v>45192</v>
      </c>
    </row>
    <row r="35" spans="1:6" x14ac:dyDescent="0.35">
      <c r="A35" t="s">
        <v>471</v>
      </c>
      <c r="B35" t="s">
        <v>82</v>
      </c>
      <c r="C35" t="s">
        <v>444</v>
      </c>
      <c r="D35" t="s">
        <v>432</v>
      </c>
      <c r="E35">
        <v>3052.9</v>
      </c>
      <c r="F35" s="1">
        <v>45090</v>
      </c>
    </row>
    <row r="36" spans="1:6" x14ac:dyDescent="0.35">
      <c r="A36" t="s">
        <v>472</v>
      </c>
      <c r="B36" t="s">
        <v>83</v>
      </c>
      <c r="C36" t="s">
        <v>434</v>
      </c>
      <c r="D36" t="s">
        <v>437</v>
      </c>
      <c r="E36">
        <v>1654.53</v>
      </c>
      <c r="F36" s="1">
        <v>45034</v>
      </c>
    </row>
    <row r="37" spans="1:6" x14ac:dyDescent="0.35">
      <c r="A37" t="s">
        <v>473</v>
      </c>
      <c r="B37" t="s">
        <v>85</v>
      </c>
      <c r="C37" t="s">
        <v>456</v>
      </c>
      <c r="D37" t="s">
        <v>432</v>
      </c>
      <c r="E37">
        <v>4833.17</v>
      </c>
      <c r="F37" s="1">
        <v>44934</v>
      </c>
    </row>
    <row r="38" spans="1:6" x14ac:dyDescent="0.35">
      <c r="A38" t="s">
        <v>474</v>
      </c>
      <c r="B38" t="s">
        <v>87</v>
      </c>
      <c r="C38" t="s">
        <v>431</v>
      </c>
      <c r="D38" t="s">
        <v>437</v>
      </c>
      <c r="E38">
        <v>2675.96</v>
      </c>
      <c r="F38" s="1">
        <v>45013</v>
      </c>
    </row>
    <row r="39" spans="1:6" x14ac:dyDescent="0.35">
      <c r="A39" t="s">
        <v>475</v>
      </c>
      <c r="B39" t="s">
        <v>88</v>
      </c>
      <c r="C39" t="s">
        <v>434</v>
      </c>
      <c r="D39" t="s">
        <v>437</v>
      </c>
      <c r="E39">
        <v>4126.97</v>
      </c>
      <c r="F39" s="1">
        <v>44980</v>
      </c>
    </row>
    <row r="40" spans="1:6" x14ac:dyDescent="0.35">
      <c r="A40" t="s">
        <v>476</v>
      </c>
      <c r="B40" t="s">
        <v>89</v>
      </c>
      <c r="C40" t="s">
        <v>444</v>
      </c>
      <c r="D40" t="s">
        <v>437</v>
      </c>
      <c r="E40">
        <v>2976.02</v>
      </c>
      <c r="F40" s="1">
        <v>45033</v>
      </c>
    </row>
    <row r="41" spans="1:6" x14ac:dyDescent="0.35">
      <c r="A41" t="s">
        <v>477</v>
      </c>
      <c r="B41" t="s">
        <v>91</v>
      </c>
      <c r="C41" t="s">
        <v>431</v>
      </c>
      <c r="D41" t="s">
        <v>437</v>
      </c>
      <c r="E41">
        <v>695.36</v>
      </c>
      <c r="F41" s="1">
        <v>45012</v>
      </c>
    </row>
    <row r="42" spans="1:6" x14ac:dyDescent="0.35">
      <c r="A42" t="s">
        <v>478</v>
      </c>
      <c r="B42" t="s">
        <v>93</v>
      </c>
      <c r="C42" t="s">
        <v>444</v>
      </c>
      <c r="D42" t="s">
        <v>432</v>
      </c>
      <c r="E42">
        <v>3349.18</v>
      </c>
      <c r="F42" s="1">
        <v>44927</v>
      </c>
    </row>
    <row r="43" spans="1:6" x14ac:dyDescent="0.35">
      <c r="A43" t="s">
        <v>479</v>
      </c>
      <c r="B43" t="s">
        <v>94</v>
      </c>
      <c r="C43" t="s">
        <v>431</v>
      </c>
      <c r="D43" t="s">
        <v>432</v>
      </c>
      <c r="E43">
        <v>4781.32</v>
      </c>
      <c r="F43" s="1">
        <v>45006</v>
      </c>
    </row>
    <row r="44" spans="1:6" x14ac:dyDescent="0.35">
      <c r="A44" t="s">
        <v>480</v>
      </c>
      <c r="B44" t="s">
        <v>95</v>
      </c>
      <c r="C44" t="s">
        <v>456</v>
      </c>
      <c r="D44" t="s">
        <v>435</v>
      </c>
      <c r="E44">
        <v>3207.25</v>
      </c>
      <c r="F44" s="1">
        <v>45014</v>
      </c>
    </row>
    <row r="45" spans="1:6" x14ac:dyDescent="0.35">
      <c r="A45" t="s">
        <v>481</v>
      </c>
      <c r="B45" t="s">
        <v>96</v>
      </c>
      <c r="C45" t="s">
        <v>434</v>
      </c>
      <c r="D45" t="s">
        <v>432</v>
      </c>
      <c r="E45">
        <v>4186.3500000000004</v>
      </c>
      <c r="F45" s="1">
        <v>45189</v>
      </c>
    </row>
    <row r="46" spans="1:6" x14ac:dyDescent="0.35">
      <c r="A46" t="s">
        <v>482</v>
      </c>
      <c r="B46" t="s">
        <v>98</v>
      </c>
      <c r="C46" t="s">
        <v>431</v>
      </c>
      <c r="D46" t="s">
        <v>437</v>
      </c>
      <c r="E46">
        <v>4478.93</v>
      </c>
      <c r="F46" s="1">
        <v>45197</v>
      </c>
    </row>
    <row r="47" spans="1:6" x14ac:dyDescent="0.35">
      <c r="A47" t="s">
        <v>483</v>
      </c>
      <c r="B47" t="s">
        <v>99</v>
      </c>
      <c r="C47" t="s">
        <v>440</v>
      </c>
      <c r="D47" t="s">
        <v>435</v>
      </c>
      <c r="E47">
        <v>1526.36</v>
      </c>
      <c r="F47" s="1">
        <v>45280</v>
      </c>
    </row>
    <row r="48" spans="1:6" x14ac:dyDescent="0.35">
      <c r="A48" t="s">
        <v>484</v>
      </c>
      <c r="B48" t="s">
        <v>101</v>
      </c>
      <c r="C48" t="s">
        <v>440</v>
      </c>
      <c r="D48" t="s">
        <v>435</v>
      </c>
      <c r="E48">
        <v>1454.2</v>
      </c>
      <c r="F48" s="1">
        <v>45048</v>
      </c>
    </row>
    <row r="49" spans="1:6" x14ac:dyDescent="0.35">
      <c r="A49" t="s">
        <v>485</v>
      </c>
      <c r="B49" t="s">
        <v>102</v>
      </c>
      <c r="C49" t="s">
        <v>431</v>
      </c>
      <c r="D49" t="s">
        <v>435</v>
      </c>
      <c r="E49">
        <v>3249.41</v>
      </c>
      <c r="F49" s="1">
        <v>44942</v>
      </c>
    </row>
    <row r="50" spans="1:6" x14ac:dyDescent="0.35">
      <c r="A50" t="s">
        <v>486</v>
      </c>
      <c r="B50" t="s">
        <v>103</v>
      </c>
      <c r="C50" t="s">
        <v>431</v>
      </c>
      <c r="D50" t="s">
        <v>437</v>
      </c>
      <c r="E50">
        <v>2349.63</v>
      </c>
      <c r="F50" s="1">
        <v>45046</v>
      </c>
    </row>
    <row r="51" spans="1:6" x14ac:dyDescent="0.35">
      <c r="A51" t="s">
        <v>487</v>
      </c>
      <c r="B51" t="s">
        <v>104</v>
      </c>
      <c r="C51" t="s">
        <v>431</v>
      </c>
      <c r="D51" t="s">
        <v>432</v>
      </c>
      <c r="E51">
        <v>4279.38</v>
      </c>
      <c r="F51" s="1">
        <v>45154</v>
      </c>
    </row>
    <row r="52" spans="1:6" x14ac:dyDescent="0.35">
      <c r="A52" t="s">
        <v>488</v>
      </c>
      <c r="B52" t="s">
        <v>105</v>
      </c>
      <c r="C52" t="s">
        <v>440</v>
      </c>
      <c r="D52" t="s">
        <v>437</v>
      </c>
      <c r="E52">
        <v>4550.1000000000004</v>
      </c>
      <c r="F52" s="1">
        <v>44961</v>
      </c>
    </row>
    <row r="53" spans="1:6" x14ac:dyDescent="0.35">
      <c r="A53" t="s">
        <v>489</v>
      </c>
      <c r="B53" t="s">
        <v>107</v>
      </c>
      <c r="C53" t="s">
        <v>440</v>
      </c>
      <c r="D53" t="s">
        <v>435</v>
      </c>
      <c r="E53">
        <v>2090.4</v>
      </c>
      <c r="F53" s="1">
        <v>45119</v>
      </c>
    </row>
    <row r="54" spans="1:6" x14ac:dyDescent="0.35">
      <c r="A54" t="s">
        <v>490</v>
      </c>
      <c r="B54" t="s">
        <v>108</v>
      </c>
      <c r="C54" t="s">
        <v>431</v>
      </c>
      <c r="D54" t="s">
        <v>437</v>
      </c>
      <c r="E54">
        <v>1565.92</v>
      </c>
      <c r="F54" s="1">
        <v>44969</v>
      </c>
    </row>
    <row r="55" spans="1:6" x14ac:dyDescent="0.35">
      <c r="A55" t="s">
        <v>491</v>
      </c>
      <c r="B55" t="s">
        <v>110</v>
      </c>
      <c r="C55" t="s">
        <v>444</v>
      </c>
      <c r="D55" t="s">
        <v>437</v>
      </c>
      <c r="E55">
        <v>4012.36</v>
      </c>
      <c r="F55" s="1">
        <v>45276</v>
      </c>
    </row>
    <row r="56" spans="1:6" x14ac:dyDescent="0.35">
      <c r="A56" t="s">
        <v>492</v>
      </c>
      <c r="B56" t="s">
        <v>111</v>
      </c>
      <c r="C56" t="s">
        <v>444</v>
      </c>
      <c r="D56" t="s">
        <v>432</v>
      </c>
      <c r="E56">
        <v>1736.63</v>
      </c>
      <c r="F56" s="1">
        <v>45205</v>
      </c>
    </row>
    <row r="57" spans="1:6" x14ac:dyDescent="0.35">
      <c r="A57" t="s">
        <v>493</v>
      </c>
      <c r="B57" t="s">
        <v>113</v>
      </c>
      <c r="C57" t="s">
        <v>456</v>
      </c>
      <c r="D57" t="s">
        <v>432</v>
      </c>
      <c r="E57">
        <v>4201.76</v>
      </c>
      <c r="F57" s="1">
        <v>44928</v>
      </c>
    </row>
    <row r="58" spans="1:6" x14ac:dyDescent="0.35">
      <c r="A58" t="s">
        <v>494</v>
      </c>
      <c r="B58" t="s">
        <v>114</v>
      </c>
      <c r="C58" t="s">
        <v>434</v>
      </c>
      <c r="D58" t="s">
        <v>435</v>
      </c>
      <c r="E58">
        <v>2406.8200000000002</v>
      </c>
      <c r="F58" s="1">
        <v>45031</v>
      </c>
    </row>
    <row r="59" spans="1:6" x14ac:dyDescent="0.35">
      <c r="A59" t="s">
        <v>495</v>
      </c>
      <c r="B59" t="s">
        <v>115</v>
      </c>
      <c r="C59" t="s">
        <v>444</v>
      </c>
      <c r="D59" t="s">
        <v>437</v>
      </c>
      <c r="E59">
        <v>3503.97</v>
      </c>
      <c r="F59" s="1">
        <v>45055</v>
      </c>
    </row>
    <row r="60" spans="1:6" x14ac:dyDescent="0.35">
      <c r="A60" t="s">
        <v>496</v>
      </c>
      <c r="B60" t="s">
        <v>116</v>
      </c>
      <c r="C60" t="s">
        <v>440</v>
      </c>
      <c r="D60" t="s">
        <v>437</v>
      </c>
      <c r="E60">
        <v>929.91</v>
      </c>
      <c r="F60" s="1">
        <v>44994</v>
      </c>
    </row>
    <row r="61" spans="1:6" x14ac:dyDescent="0.35">
      <c r="A61" t="s">
        <v>497</v>
      </c>
      <c r="B61" t="s">
        <v>118</v>
      </c>
      <c r="C61" t="s">
        <v>444</v>
      </c>
      <c r="D61" t="s">
        <v>432</v>
      </c>
      <c r="E61">
        <v>3307.37</v>
      </c>
      <c r="F61" s="1">
        <v>45252</v>
      </c>
    </row>
    <row r="62" spans="1:6" x14ac:dyDescent="0.35">
      <c r="A62" t="s">
        <v>498</v>
      </c>
      <c r="B62" t="s">
        <v>120</v>
      </c>
      <c r="C62" t="s">
        <v>456</v>
      </c>
      <c r="D62" t="s">
        <v>437</v>
      </c>
      <c r="E62">
        <v>2532.9499999999998</v>
      </c>
      <c r="F62" s="1">
        <v>44941</v>
      </c>
    </row>
    <row r="63" spans="1:6" x14ac:dyDescent="0.35">
      <c r="A63" t="s">
        <v>499</v>
      </c>
      <c r="B63" t="s">
        <v>121</v>
      </c>
      <c r="C63" t="s">
        <v>456</v>
      </c>
      <c r="D63" t="s">
        <v>437</v>
      </c>
      <c r="E63">
        <v>3139.74</v>
      </c>
      <c r="F63" s="1">
        <v>45091</v>
      </c>
    </row>
    <row r="64" spans="1:6" x14ac:dyDescent="0.35">
      <c r="A64" t="s">
        <v>500</v>
      </c>
      <c r="B64" t="s">
        <v>122</v>
      </c>
      <c r="C64" t="s">
        <v>434</v>
      </c>
      <c r="D64" t="s">
        <v>437</v>
      </c>
      <c r="E64">
        <v>1256.06</v>
      </c>
      <c r="F64" s="1">
        <v>45106</v>
      </c>
    </row>
    <row r="65" spans="1:6" x14ac:dyDescent="0.35">
      <c r="A65" t="s">
        <v>501</v>
      </c>
      <c r="B65" t="s">
        <v>124</v>
      </c>
      <c r="C65" t="s">
        <v>444</v>
      </c>
      <c r="D65" t="s">
        <v>432</v>
      </c>
      <c r="E65">
        <v>3815.93</v>
      </c>
      <c r="F65" s="1">
        <v>45077</v>
      </c>
    </row>
    <row r="66" spans="1:6" x14ac:dyDescent="0.35">
      <c r="A66" t="s">
        <v>502</v>
      </c>
      <c r="B66" t="s">
        <v>126</v>
      </c>
      <c r="C66" t="s">
        <v>440</v>
      </c>
      <c r="D66" t="s">
        <v>435</v>
      </c>
      <c r="E66">
        <v>4382.59</v>
      </c>
      <c r="F66" s="1">
        <v>45040</v>
      </c>
    </row>
    <row r="67" spans="1:6" x14ac:dyDescent="0.35">
      <c r="A67" t="s">
        <v>503</v>
      </c>
      <c r="B67" t="s">
        <v>127</v>
      </c>
      <c r="C67" t="s">
        <v>440</v>
      </c>
      <c r="D67" t="s">
        <v>435</v>
      </c>
      <c r="E67">
        <v>1475.33</v>
      </c>
      <c r="F67" s="1">
        <v>45056</v>
      </c>
    </row>
    <row r="68" spans="1:6" x14ac:dyDescent="0.35">
      <c r="A68" t="s">
        <v>504</v>
      </c>
      <c r="B68" t="s">
        <v>128</v>
      </c>
      <c r="C68" t="s">
        <v>431</v>
      </c>
      <c r="D68" t="s">
        <v>437</v>
      </c>
      <c r="E68">
        <v>930.72</v>
      </c>
      <c r="F68" s="1">
        <v>45148</v>
      </c>
    </row>
    <row r="69" spans="1:6" x14ac:dyDescent="0.35">
      <c r="A69" t="s">
        <v>505</v>
      </c>
      <c r="B69" t="s">
        <v>130</v>
      </c>
      <c r="C69" t="s">
        <v>440</v>
      </c>
      <c r="D69" t="s">
        <v>435</v>
      </c>
      <c r="E69">
        <v>606.37</v>
      </c>
      <c r="F69" s="1">
        <v>44999</v>
      </c>
    </row>
    <row r="70" spans="1:6" x14ac:dyDescent="0.35">
      <c r="A70" t="s">
        <v>506</v>
      </c>
      <c r="B70" t="s">
        <v>131</v>
      </c>
      <c r="C70" t="s">
        <v>434</v>
      </c>
      <c r="D70" t="s">
        <v>432</v>
      </c>
      <c r="E70">
        <v>3388.87</v>
      </c>
      <c r="F70" s="1">
        <v>45014</v>
      </c>
    </row>
    <row r="71" spans="1:6" x14ac:dyDescent="0.35">
      <c r="A71" t="s">
        <v>507</v>
      </c>
      <c r="B71" t="s">
        <v>132</v>
      </c>
      <c r="C71" t="s">
        <v>434</v>
      </c>
      <c r="D71" t="s">
        <v>432</v>
      </c>
      <c r="E71">
        <v>3231.92</v>
      </c>
      <c r="F71" s="1">
        <v>45164</v>
      </c>
    </row>
    <row r="72" spans="1:6" x14ac:dyDescent="0.35">
      <c r="A72" t="s">
        <v>508</v>
      </c>
      <c r="B72" t="s">
        <v>133</v>
      </c>
      <c r="C72" t="s">
        <v>440</v>
      </c>
      <c r="D72" t="s">
        <v>435</v>
      </c>
      <c r="E72">
        <v>2960.14</v>
      </c>
      <c r="F72" s="1">
        <v>44952</v>
      </c>
    </row>
    <row r="73" spans="1:6" x14ac:dyDescent="0.35">
      <c r="A73" t="s">
        <v>509</v>
      </c>
      <c r="B73" t="s">
        <v>134</v>
      </c>
      <c r="C73" t="s">
        <v>440</v>
      </c>
      <c r="D73" t="s">
        <v>435</v>
      </c>
      <c r="E73">
        <v>1543.76</v>
      </c>
      <c r="F73" s="1">
        <v>45089</v>
      </c>
    </row>
    <row r="74" spans="1:6" x14ac:dyDescent="0.35">
      <c r="A74" t="s">
        <v>510</v>
      </c>
      <c r="B74" t="s">
        <v>135</v>
      </c>
      <c r="C74" t="s">
        <v>431</v>
      </c>
      <c r="D74" t="s">
        <v>437</v>
      </c>
      <c r="E74">
        <v>2259.08</v>
      </c>
      <c r="F74" s="1">
        <v>45284</v>
      </c>
    </row>
    <row r="75" spans="1:6" x14ac:dyDescent="0.35">
      <c r="A75" t="s">
        <v>511</v>
      </c>
      <c r="B75" t="s">
        <v>136</v>
      </c>
      <c r="C75" t="s">
        <v>440</v>
      </c>
      <c r="D75" t="s">
        <v>435</v>
      </c>
      <c r="E75">
        <v>3175.14</v>
      </c>
      <c r="F75" s="1">
        <v>45130</v>
      </c>
    </row>
    <row r="76" spans="1:6" x14ac:dyDescent="0.35">
      <c r="A76" t="s">
        <v>512</v>
      </c>
      <c r="B76" t="s">
        <v>137</v>
      </c>
      <c r="C76" t="s">
        <v>431</v>
      </c>
      <c r="D76" t="s">
        <v>437</v>
      </c>
      <c r="E76">
        <v>2735.45</v>
      </c>
      <c r="F76" s="1">
        <v>45054</v>
      </c>
    </row>
    <row r="77" spans="1:6" x14ac:dyDescent="0.35">
      <c r="A77" t="s">
        <v>513</v>
      </c>
      <c r="B77" t="s">
        <v>138</v>
      </c>
      <c r="C77" t="s">
        <v>431</v>
      </c>
      <c r="D77" t="s">
        <v>437</v>
      </c>
      <c r="E77">
        <v>4945.03</v>
      </c>
      <c r="F77" s="1">
        <v>45257</v>
      </c>
    </row>
    <row r="78" spans="1:6" x14ac:dyDescent="0.35">
      <c r="A78" t="s">
        <v>514</v>
      </c>
      <c r="B78" t="s">
        <v>140</v>
      </c>
      <c r="C78" t="s">
        <v>440</v>
      </c>
      <c r="D78" t="s">
        <v>432</v>
      </c>
      <c r="E78">
        <v>1113.98</v>
      </c>
      <c r="F78" s="1">
        <v>45274</v>
      </c>
    </row>
    <row r="79" spans="1:6" x14ac:dyDescent="0.35">
      <c r="A79" t="s">
        <v>515</v>
      </c>
      <c r="B79" t="s">
        <v>141</v>
      </c>
      <c r="C79" t="s">
        <v>456</v>
      </c>
      <c r="D79" t="s">
        <v>432</v>
      </c>
      <c r="E79">
        <v>3628.15</v>
      </c>
      <c r="F79" s="1">
        <v>45186</v>
      </c>
    </row>
    <row r="80" spans="1:6" x14ac:dyDescent="0.35">
      <c r="A80" t="s">
        <v>516</v>
      </c>
      <c r="B80" t="s">
        <v>143</v>
      </c>
      <c r="C80" t="s">
        <v>456</v>
      </c>
      <c r="D80" t="s">
        <v>432</v>
      </c>
      <c r="E80">
        <v>2319.4299999999998</v>
      </c>
      <c r="F80" s="1">
        <v>45286</v>
      </c>
    </row>
    <row r="81" spans="1:6" x14ac:dyDescent="0.35">
      <c r="A81" t="s">
        <v>517</v>
      </c>
      <c r="B81" t="s">
        <v>144</v>
      </c>
      <c r="C81" t="s">
        <v>431</v>
      </c>
      <c r="D81" t="s">
        <v>432</v>
      </c>
      <c r="E81">
        <v>2426.9</v>
      </c>
      <c r="F81" s="1">
        <v>45103</v>
      </c>
    </row>
    <row r="82" spans="1:6" x14ac:dyDescent="0.35">
      <c r="A82" t="s">
        <v>518</v>
      </c>
      <c r="B82" t="s">
        <v>145</v>
      </c>
      <c r="C82" t="s">
        <v>440</v>
      </c>
      <c r="D82" t="s">
        <v>435</v>
      </c>
      <c r="E82">
        <v>3729.19</v>
      </c>
      <c r="F82" s="1">
        <v>44932</v>
      </c>
    </row>
    <row r="83" spans="1:6" x14ac:dyDescent="0.35">
      <c r="A83" t="s">
        <v>519</v>
      </c>
      <c r="B83" t="s">
        <v>146</v>
      </c>
      <c r="C83" t="s">
        <v>456</v>
      </c>
      <c r="D83" t="s">
        <v>432</v>
      </c>
      <c r="E83">
        <v>3615.96</v>
      </c>
      <c r="F83" s="1">
        <v>44946</v>
      </c>
    </row>
    <row r="84" spans="1:6" x14ac:dyDescent="0.35">
      <c r="A84" t="s">
        <v>520</v>
      </c>
      <c r="B84" t="s">
        <v>147</v>
      </c>
      <c r="C84" t="s">
        <v>440</v>
      </c>
      <c r="D84" t="s">
        <v>435</v>
      </c>
      <c r="E84">
        <v>4960.6499999999996</v>
      </c>
      <c r="F84" s="1">
        <v>45237</v>
      </c>
    </row>
    <row r="85" spans="1:6" x14ac:dyDescent="0.35">
      <c r="A85" t="s">
        <v>521</v>
      </c>
      <c r="B85" t="s">
        <v>148</v>
      </c>
      <c r="C85" t="s">
        <v>440</v>
      </c>
      <c r="D85" t="s">
        <v>432</v>
      </c>
      <c r="E85">
        <v>1077.77</v>
      </c>
      <c r="F85" s="1">
        <v>45077</v>
      </c>
    </row>
    <row r="86" spans="1:6" x14ac:dyDescent="0.35">
      <c r="A86" t="s">
        <v>522</v>
      </c>
      <c r="B86" t="s">
        <v>149</v>
      </c>
      <c r="C86" t="s">
        <v>440</v>
      </c>
      <c r="D86" t="s">
        <v>435</v>
      </c>
      <c r="E86">
        <v>968.49</v>
      </c>
      <c r="F86" s="1">
        <v>44975</v>
      </c>
    </row>
    <row r="87" spans="1:6" x14ac:dyDescent="0.35">
      <c r="A87" t="s">
        <v>523</v>
      </c>
      <c r="B87" t="s">
        <v>150</v>
      </c>
      <c r="C87" t="s">
        <v>444</v>
      </c>
      <c r="D87" t="s">
        <v>437</v>
      </c>
      <c r="E87">
        <v>3759.52</v>
      </c>
      <c r="F87" s="1">
        <v>45228</v>
      </c>
    </row>
    <row r="88" spans="1:6" x14ac:dyDescent="0.35">
      <c r="A88" t="s">
        <v>524</v>
      </c>
      <c r="B88" t="s">
        <v>152</v>
      </c>
      <c r="C88" t="s">
        <v>440</v>
      </c>
      <c r="D88" t="s">
        <v>435</v>
      </c>
      <c r="E88">
        <v>3102.74</v>
      </c>
      <c r="F88" s="1">
        <v>45218</v>
      </c>
    </row>
    <row r="89" spans="1:6" x14ac:dyDescent="0.35">
      <c r="A89" t="s">
        <v>525</v>
      </c>
      <c r="B89" t="s">
        <v>153</v>
      </c>
      <c r="C89" t="s">
        <v>444</v>
      </c>
      <c r="D89" t="s">
        <v>435</v>
      </c>
      <c r="E89">
        <v>1733.72</v>
      </c>
      <c r="F89" s="1">
        <v>45048</v>
      </c>
    </row>
    <row r="90" spans="1:6" x14ac:dyDescent="0.35">
      <c r="A90" t="s">
        <v>526</v>
      </c>
      <c r="B90" t="s">
        <v>155</v>
      </c>
      <c r="C90" t="s">
        <v>431</v>
      </c>
      <c r="D90" t="s">
        <v>432</v>
      </c>
      <c r="E90">
        <v>857.39</v>
      </c>
      <c r="F90" s="1">
        <v>44971</v>
      </c>
    </row>
    <row r="91" spans="1:6" x14ac:dyDescent="0.35">
      <c r="A91" t="s">
        <v>527</v>
      </c>
      <c r="B91" t="s">
        <v>156</v>
      </c>
      <c r="C91" t="s">
        <v>456</v>
      </c>
      <c r="D91" t="s">
        <v>435</v>
      </c>
      <c r="E91">
        <v>885.46</v>
      </c>
      <c r="F91" s="1">
        <v>45078</v>
      </c>
    </row>
    <row r="92" spans="1:6" x14ac:dyDescent="0.35">
      <c r="A92" t="s">
        <v>528</v>
      </c>
      <c r="B92" t="s">
        <v>157</v>
      </c>
      <c r="C92" t="s">
        <v>456</v>
      </c>
      <c r="D92" t="s">
        <v>437</v>
      </c>
      <c r="E92">
        <v>4523.8599999999997</v>
      </c>
      <c r="F92" s="1">
        <v>45088</v>
      </c>
    </row>
    <row r="93" spans="1:6" x14ac:dyDescent="0.35">
      <c r="A93" t="s">
        <v>529</v>
      </c>
      <c r="B93" t="s">
        <v>158</v>
      </c>
      <c r="C93" t="s">
        <v>456</v>
      </c>
      <c r="D93" t="s">
        <v>437</v>
      </c>
      <c r="E93">
        <v>1363.4</v>
      </c>
      <c r="F93" s="1">
        <v>44956</v>
      </c>
    </row>
    <row r="94" spans="1:6" x14ac:dyDescent="0.35">
      <c r="A94" t="s">
        <v>530</v>
      </c>
      <c r="B94" t="s">
        <v>159</v>
      </c>
      <c r="C94" t="s">
        <v>456</v>
      </c>
      <c r="D94" t="s">
        <v>432</v>
      </c>
      <c r="E94">
        <v>1955.17</v>
      </c>
      <c r="F94" s="1">
        <v>45025</v>
      </c>
    </row>
    <row r="95" spans="1:6" x14ac:dyDescent="0.35">
      <c r="A95" t="s">
        <v>531</v>
      </c>
      <c r="B95" t="s">
        <v>160</v>
      </c>
      <c r="C95" t="s">
        <v>456</v>
      </c>
      <c r="D95" t="s">
        <v>437</v>
      </c>
      <c r="E95">
        <v>1519.95</v>
      </c>
      <c r="F95" s="1">
        <v>45024</v>
      </c>
    </row>
    <row r="96" spans="1:6" x14ac:dyDescent="0.35">
      <c r="A96" t="s">
        <v>532</v>
      </c>
      <c r="B96" t="s">
        <v>162</v>
      </c>
      <c r="C96" t="s">
        <v>456</v>
      </c>
      <c r="D96" t="s">
        <v>435</v>
      </c>
      <c r="E96">
        <v>2097.48</v>
      </c>
      <c r="F96" s="1">
        <v>45055</v>
      </c>
    </row>
    <row r="97" spans="1:6" x14ac:dyDescent="0.35">
      <c r="A97" t="s">
        <v>533</v>
      </c>
      <c r="B97" t="s">
        <v>164</v>
      </c>
      <c r="C97" t="s">
        <v>456</v>
      </c>
      <c r="D97" t="s">
        <v>437</v>
      </c>
      <c r="E97">
        <v>812.41</v>
      </c>
      <c r="F97" s="1">
        <v>45114</v>
      </c>
    </row>
    <row r="98" spans="1:6" x14ac:dyDescent="0.35">
      <c r="A98" t="s">
        <v>534</v>
      </c>
      <c r="B98" t="s">
        <v>165</v>
      </c>
      <c r="C98" t="s">
        <v>431</v>
      </c>
      <c r="D98" t="s">
        <v>432</v>
      </c>
      <c r="E98">
        <v>2835.77</v>
      </c>
      <c r="F98" s="1">
        <v>45052</v>
      </c>
    </row>
    <row r="99" spans="1:6" x14ac:dyDescent="0.35">
      <c r="A99" t="s">
        <v>535</v>
      </c>
      <c r="B99" t="s">
        <v>166</v>
      </c>
      <c r="C99" t="s">
        <v>440</v>
      </c>
      <c r="D99" t="s">
        <v>435</v>
      </c>
      <c r="E99">
        <v>804.26</v>
      </c>
      <c r="F99" s="1">
        <v>45002</v>
      </c>
    </row>
    <row r="100" spans="1:6" x14ac:dyDescent="0.35">
      <c r="A100" t="s">
        <v>536</v>
      </c>
      <c r="B100" t="s">
        <v>167</v>
      </c>
      <c r="C100" t="s">
        <v>434</v>
      </c>
      <c r="D100" t="s">
        <v>432</v>
      </c>
      <c r="E100">
        <v>4101.6000000000004</v>
      </c>
      <c r="F100" s="1">
        <v>45111</v>
      </c>
    </row>
    <row r="101" spans="1:6" x14ac:dyDescent="0.35">
      <c r="A101" t="s">
        <v>537</v>
      </c>
      <c r="B101" t="s">
        <v>169</v>
      </c>
      <c r="C101" t="s">
        <v>444</v>
      </c>
      <c r="D101" t="s">
        <v>435</v>
      </c>
      <c r="E101">
        <v>1551.7</v>
      </c>
      <c r="F101" s="1">
        <v>44987</v>
      </c>
    </row>
    <row r="102" spans="1:6" x14ac:dyDescent="0.35">
      <c r="A102" t="s">
        <v>538</v>
      </c>
      <c r="B102" t="s">
        <v>170</v>
      </c>
      <c r="C102" t="s">
        <v>434</v>
      </c>
      <c r="D102" t="s">
        <v>437</v>
      </c>
      <c r="E102">
        <v>2930.05</v>
      </c>
      <c r="F102" s="1">
        <v>45190</v>
      </c>
    </row>
    <row r="103" spans="1:6" x14ac:dyDescent="0.35">
      <c r="A103" t="s">
        <v>539</v>
      </c>
      <c r="B103" t="s">
        <v>171</v>
      </c>
      <c r="C103" t="s">
        <v>434</v>
      </c>
      <c r="D103" t="s">
        <v>432</v>
      </c>
      <c r="E103">
        <v>4460.3599999999997</v>
      </c>
      <c r="F103" s="1">
        <v>45224</v>
      </c>
    </row>
    <row r="104" spans="1:6" x14ac:dyDescent="0.35">
      <c r="A104" t="s">
        <v>540</v>
      </c>
      <c r="B104" t="s">
        <v>172</v>
      </c>
      <c r="C104" t="s">
        <v>440</v>
      </c>
      <c r="D104" t="s">
        <v>432</v>
      </c>
      <c r="E104">
        <v>3428.95</v>
      </c>
      <c r="F104" s="1">
        <v>44950</v>
      </c>
    </row>
    <row r="105" spans="1:6" x14ac:dyDescent="0.35">
      <c r="A105" t="s">
        <v>541</v>
      </c>
      <c r="B105" t="s">
        <v>173</v>
      </c>
      <c r="C105" t="s">
        <v>440</v>
      </c>
      <c r="D105" t="s">
        <v>435</v>
      </c>
      <c r="E105">
        <v>2898.31</v>
      </c>
      <c r="F105" s="1">
        <v>45034</v>
      </c>
    </row>
    <row r="106" spans="1:6" x14ac:dyDescent="0.35">
      <c r="A106" t="s">
        <v>542</v>
      </c>
      <c r="B106" t="s">
        <v>174</v>
      </c>
      <c r="C106" t="s">
        <v>440</v>
      </c>
      <c r="D106" t="s">
        <v>432</v>
      </c>
      <c r="E106">
        <v>1959.5</v>
      </c>
      <c r="F106" s="1">
        <v>45152</v>
      </c>
    </row>
    <row r="107" spans="1:6" x14ac:dyDescent="0.35">
      <c r="A107" t="s">
        <v>543</v>
      </c>
      <c r="B107" t="s">
        <v>175</v>
      </c>
      <c r="C107" t="s">
        <v>456</v>
      </c>
      <c r="D107" t="s">
        <v>435</v>
      </c>
      <c r="E107">
        <v>1998.51</v>
      </c>
      <c r="F107" s="1">
        <v>45228</v>
      </c>
    </row>
    <row r="108" spans="1:6" x14ac:dyDescent="0.35">
      <c r="A108" t="s">
        <v>544</v>
      </c>
      <c r="B108" t="s">
        <v>176</v>
      </c>
      <c r="C108" t="s">
        <v>431</v>
      </c>
      <c r="D108" t="s">
        <v>435</v>
      </c>
      <c r="E108">
        <v>3512.69</v>
      </c>
      <c r="F108" s="1">
        <v>45033</v>
      </c>
    </row>
    <row r="109" spans="1:6" x14ac:dyDescent="0.35">
      <c r="A109" t="s">
        <v>545</v>
      </c>
      <c r="B109" t="s">
        <v>178</v>
      </c>
      <c r="C109" t="s">
        <v>456</v>
      </c>
      <c r="D109" t="s">
        <v>435</v>
      </c>
      <c r="E109">
        <v>4973.63</v>
      </c>
      <c r="F109" s="1">
        <v>45037</v>
      </c>
    </row>
    <row r="110" spans="1:6" x14ac:dyDescent="0.35">
      <c r="A110" t="s">
        <v>546</v>
      </c>
      <c r="B110" t="s">
        <v>179</v>
      </c>
      <c r="C110" t="s">
        <v>431</v>
      </c>
      <c r="D110" t="s">
        <v>435</v>
      </c>
      <c r="E110">
        <v>3478.28</v>
      </c>
      <c r="F110" s="1">
        <v>45136</v>
      </c>
    </row>
    <row r="111" spans="1:6" x14ac:dyDescent="0.35">
      <c r="A111" t="s">
        <v>547</v>
      </c>
      <c r="B111" t="s">
        <v>180</v>
      </c>
      <c r="C111" t="s">
        <v>431</v>
      </c>
      <c r="D111" t="s">
        <v>437</v>
      </c>
      <c r="E111">
        <v>3010.03</v>
      </c>
      <c r="F111" s="1">
        <v>45126</v>
      </c>
    </row>
    <row r="112" spans="1:6" x14ac:dyDescent="0.35">
      <c r="A112" t="s">
        <v>548</v>
      </c>
      <c r="B112" t="s">
        <v>181</v>
      </c>
      <c r="C112" t="s">
        <v>434</v>
      </c>
      <c r="D112" t="s">
        <v>435</v>
      </c>
      <c r="E112">
        <v>3787.93</v>
      </c>
      <c r="F112" s="1">
        <v>45068</v>
      </c>
    </row>
    <row r="113" spans="1:6" x14ac:dyDescent="0.35">
      <c r="A113" t="s">
        <v>549</v>
      </c>
      <c r="B113" t="s">
        <v>182</v>
      </c>
      <c r="C113" t="s">
        <v>434</v>
      </c>
      <c r="D113" t="s">
        <v>432</v>
      </c>
      <c r="E113">
        <v>2593.4299999999998</v>
      </c>
      <c r="F113" s="1">
        <v>44937</v>
      </c>
    </row>
    <row r="114" spans="1:6" x14ac:dyDescent="0.35">
      <c r="A114" t="s">
        <v>550</v>
      </c>
      <c r="B114" t="s">
        <v>183</v>
      </c>
      <c r="C114" t="s">
        <v>431</v>
      </c>
      <c r="D114" t="s">
        <v>437</v>
      </c>
      <c r="E114">
        <v>770.64</v>
      </c>
      <c r="F114" s="1">
        <v>45254</v>
      </c>
    </row>
    <row r="115" spans="1:6" x14ac:dyDescent="0.35">
      <c r="A115" t="s">
        <v>551</v>
      </c>
      <c r="B115" t="s">
        <v>184</v>
      </c>
      <c r="C115" t="s">
        <v>431</v>
      </c>
      <c r="D115" t="s">
        <v>432</v>
      </c>
      <c r="E115">
        <v>3030.34</v>
      </c>
      <c r="F115" s="1">
        <v>45146</v>
      </c>
    </row>
    <row r="116" spans="1:6" x14ac:dyDescent="0.35">
      <c r="A116" t="s">
        <v>552</v>
      </c>
      <c r="B116" t="s">
        <v>186</v>
      </c>
      <c r="C116" t="s">
        <v>456</v>
      </c>
      <c r="D116" t="s">
        <v>437</v>
      </c>
      <c r="E116">
        <v>4809.3100000000004</v>
      </c>
      <c r="F116" s="1">
        <v>45224</v>
      </c>
    </row>
    <row r="117" spans="1:6" x14ac:dyDescent="0.35">
      <c r="A117" t="s">
        <v>553</v>
      </c>
      <c r="B117" t="s">
        <v>187</v>
      </c>
      <c r="C117" t="s">
        <v>456</v>
      </c>
      <c r="D117" t="s">
        <v>435</v>
      </c>
      <c r="E117">
        <v>1288.8599999999999</v>
      </c>
      <c r="F117" s="1">
        <v>45114</v>
      </c>
    </row>
    <row r="118" spans="1:6" x14ac:dyDescent="0.35">
      <c r="A118" t="s">
        <v>554</v>
      </c>
      <c r="B118" t="s">
        <v>188</v>
      </c>
      <c r="C118" t="s">
        <v>434</v>
      </c>
      <c r="D118" t="s">
        <v>437</v>
      </c>
      <c r="E118">
        <v>3605.02</v>
      </c>
      <c r="F118" s="1">
        <v>45097</v>
      </c>
    </row>
    <row r="119" spans="1:6" x14ac:dyDescent="0.35">
      <c r="A119" t="s">
        <v>555</v>
      </c>
      <c r="B119" t="s">
        <v>189</v>
      </c>
      <c r="C119" t="s">
        <v>440</v>
      </c>
      <c r="D119" t="s">
        <v>437</v>
      </c>
      <c r="E119">
        <v>1404.2</v>
      </c>
      <c r="F119" s="1">
        <v>45147</v>
      </c>
    </row>
    <row r="120" spans="1:6" x14ac:dyDescent="0.35">
      <c r="A120" t="s">
        <v>556</v>
      </c>
      <c r="B120" t="s">
        <v>190</v>
      </c>
      <c r="C120" t="s">
        <v>431</v>
      </c>
      <c r="D120" t="s">
        <v>432</v>
      </c>
      <c r="E120">
        <v>2911.22</v>
      </c>
      <c r="F120" s="1">
        <v>45278</v>
      </c>
    </row>
    <row r="121" spans="1:6" x14ac:dyDescent="0.35">
      <c r="A121" t="s">
        <v>557</v>
      </c>
      <c r="B121" t="s">
        <v>191</v>
      </c>
      <c r="C121" t="s">
        <v>456</v>
      </c>
      <c r="D121" t="s">
        <v>432</v>
      </c>
      <c r="E121">
        <v>935.04</v>
      </c>
      <c r="F121" s="1">
        <v>45268</v>
      </c>
    </row>
    <row r="122" spans="1:6" x14ac:dyDescent="0.35">
      <c r="A122" t="s">
        <v>558</v>
      </c>
      <c r="B122" t="s">
        <v>192</v>
      </c>
      <c r="C122" t="s">
        <v>434</v>
      </c>
      <c r="D122" t="s">
        <v>435</v>
      </c>
      <c r="E122">
        <v>2526.67</v>
      </c>
      <c r="F122" s="1">
        <v>45023</v>
      </c>
    </row>
    <row r="123" spans="1:6" x14ac:dyDescent="0.35">
      <c r="A123" t="s">
        <v>559</v>
      </c>
      <c r="B123" t="s">
        <v>193</v>
      </c>
      <c r="C123" t="s">
        <v>456</v>
      </c>
      <c r="D123" t="s">
        <v>437</v>
      </c>
      <c r="E123">
        <v>3902.73</v>
      </c>
      <c r="F123" s="1">
        <v>45118</v>
      </c>
    </row>
    <row r="124" spans="1:6" x14ac:dyDescent="0.35">
      <c r="A124" t="s">
        <v>560</v>
      </c>
      <c r="B124" t="s">
        <v>194</v>
      </c>
      <c r="C124" t="s">
        <v>431</v>
      </c>
      <c r="D124" t="s">
        <v>437</v>
      </c>
      <c r="E124">
        <v>2064.0700000000002</v>
      </c>
      <c r="F124" s="1">
        <v>44985</v>
      </c>
    </row>
    <row r="125" spans="1:6" x14ac:dyDescent="0.35">
      <c r="A125" t="s">
        <v>561</v>
      </c>
      <c r="B125" t="s">
        <v>195</v>
      </c>
      <c r="C125" t="s">
        <v>431</v>
      </c>
      <c r="D125" t="s">
        <v>437</v>
      </c>
      <c r="E125">
        <v>3492.1</v>
      </c>
      <c r="F125" s="1">
        <v>45001</v>
      </c>
    </row>
    <row r="126" spans="1:6" x14ac:dyDescent="0.35">
      <c r="A126" t="s">
        <v>562</v>
      </c>
      <c r="B126" t="s">
        <v>196</v>
      </c>
      <c r="C126" t="s">
        <v>444</v>
      </c>
      <c r="D126" t="s">
        <v>435</v>
      </c>
      <c r="E126">
        <v>4079.52</v>
      </c>
      <c r="F126" s="1">
        <v>44975</v>
      </c>
    </row>
    <row r="127" spans="1:6" x14ac:dyDescent="0.35">
      <c r="A127" t="s">
        <v>563</v>
      </c>
      <c r="B127" t="s">
        <v>197</v>
      </c>
      <c r="C127" t="s">
        <v>440</v>
      </c>
      <c r="D127" t="s">
        <v>435</v>
      </c>
      <c r="E127">
        <v>4672.3</v>
      </c>
      <c r="F127" s="1">
        <v>45232</v>
      </c>
    </row>
    <row r="128" spans="1:6" x14ac:dyDescent="0.35">
      <c r="A128" t="s">
        <v>564</v>
      </c>
      <c r="B128" t="s">
        <v>198</v>
      </c>
      <c r="C128" t="s">
        <v>444</v>
      </c>
      <c r="D128" t="s">
        <v>435</v>
      </c>
      <c r="E128">
        <v>1555.89</v>
      </c>
      <c r="F128" s="1">
        <v>45243</v>
      </c>
    </row>
    <row r="129" spans="1:6" x14ac:dyDescent="0.35">
      <c r="A129" t="s">
        <v>565</v>
      </c>
      <c r="B129" t="s">
        <v>199</v>
      </c>
      <c r="C129" t="s">
        <v>434</v>
      </c>
      <c r="D129" t="s">
        <v>435</v>
      </c>
      <c r="E129">
        <v>2296.92</v>
      </c>
      <c r="F129" s="1">
        <v>45031</v>
      </c>
    </row>
    <row r="130" spans="1:6" x14ac:dyDescent="0.35">
      <c r="A130" t="s">
        <v>566</v>
      </c>
      <c r="B130" t="s">
        <v>200</v>
      </c>
      <c r="C130" t="s">
        <v>456</v>
      </c>
      <c r="D130" t="s">
        <v>435</v>
      </c>
      <c r="E130">
        <v>1185.8699999999999</v>
      </c>
      <c r="F130" s="1">
        <v>45163</v>
      </c>
    </row>
    <row r="131" spans="1:6" x14ac:dyDescent="0.35">
      <c r="A131" t="s">
        <v>567</v>
      </c>
      <c r="B131" t="s">
        <v>201</v>
      </c>
      <c r="C131" t="s">
        <v>434</v>
      </c>
      <c r="D131" t="s">
        <v>432</v>
      </c>
      <c r="E131">
        <v>4966.18</v>
      </c>
      <c r="F131" s="1">
        <v>44980</v>
      </c>
    </row>
    <row r="132" spans="1:6" x14ac:dyDescent="0.35">
      <c r="A132" t="s">
        <v>568</v>
      </c>
      <c r="B132" t="s">
        <v>202</v>
      </c>
      <c r="C132" t="s">
        <v>431</v>
      </c>
      <c r="D132" t="s">
        <v>437</v>
      </c>
      <c r="E132">
        <v>4671.5</v>
      </c>
      <c r="F132" s="1">
        <v>45057</v>
      </c>
    </row>
    <row r="133" spans="1:6" x14ac:dyDescent="0.35">
      <c r="A133" t="s">
        <v>569</v>
      </c>
      <c r="B133" t="s">
        <v>203</v>
      </c>
      <c r="C133" t="s">
        <v>444</v>
      </c>
      <c r="D133" t="s">
        <v>437</v>
      </c>
      <c r="E133">
        <v>2929.81</v>
      </c>
      <c r="F133" s="1">
        <v>45133</v>
      </c>
    </row>
    <row r="134" spans="1:6" x14ac:dyDescent="0.35">
      <c r="A134" t="s">
        <v>570</v>
      </c>
      <c r="B134" t="s">
        <v>204</v>
      </c>
      <c r="C134" t="s">
        <v>444</v>
      </c>
      <c r="D134" t="s">
        <v>437</v>
      </c>
      <c r="E134">
        <v>4289.1499999999996</v>
      </c>
      <c r="F134" s="1">
        <v>45008</v>
      </c>
    </row>
    <row r="135" spans="1:6" x14ac:dyDescent="0.35">
      <c r="A135" t="s">
        <v>571</v>
      </c>
      <c r="B135" t="s">
        <v>205</v>
      </c>
      <c r="C135" t="s">
        <v>444</v>
      </c>
      <c r="D135" t="s">
        <v>437</v>
      </c>
      <c r="E135">
        <v>2844.31</v>
      </c>
      <c r="F135" s="1">
        <v>45216</v>
      </c>
    </row>
    <row r="136" spans="1:6" x14ac:dyDescent="0.35">
      <c r="A136" t="s">
        <v>572</v>
      </c>
      <c r="B136" t="s">
        <v>206</v>
      </c>
      <c r="C136" t="s">
        <v>434</v>
      </c>
      <c r="D136" t="s">
        <v>437</v>
      </c>
      <c r="E136">
        <v>3306.14</v>
      </c>
      <c r="F136" s="1">
        <v>45178</v>
      </c>
    </row>
    <row r="137" spans="1:6" x14ac:dyDescent="0.35">
      <c r="A137" t="s">
        <v>573</v>
      </c>
      <c r="B137" t="s">
        <v>207</v>
      </c>
      <c r="C137" t="s">
        <v>431</v>
      </c>
      <c r="D137" t="s">
        <v>437</v>
      </c>
      <c r="E137">
        <v>901.06</v>
      </c>
      <c r="F137" s="1">
        <v>45059</v>
      </c>
    </row>
    <row r="138" spans="1:6" x14ac:dyDescent="0.35">
      <c r="A138" t="s">
        <v>574</v>
      </c>
      <c r="B138" t="s">
        <v>208</v>
      </c>
      <c r="C138" t="s">
        <v>456</v>
      </c>
      <c r="D138" t="s">
        <v>437</v>
      </c>
      <c r="E138">
        <v>3898.72</v>
      </c>
      <c r="F138" s="1">
        <v>45224</v>
      </c>
    </row>
    <row r="139" spans="1:6" x14ac:dyDescent="0.35">
      <c r="A139" t="s">
        <v>575</v>
      </c>
      <c r="B139" t="s">
        <v>209</v>
      </c>
      <c r="C139" t="s">
        <v>456</v>
      </c>
      <c r="D139" t="s">
        <v>437</v>
      </c>
      <c r="E139">
        <v>1074.71</v>
      </c>
      <c r="F139" s="1">
        <v>45286</v>
      </c>
    </row>
    <row r="140" spans="1:6" x14ac:dyDescent="0.35">
      <c r="A140" t="s">
        <v>576</v>
      </c>
      <c r="B140" t="s">
        <v>210</v>
      </c>
      <c r="C140" t="s">
        <v>434</v>
      </c>
      <c r="D140" t="s">
        <v>432</v>
      </c>
      <c r="E140">
        <v>4217.3</v>
      </c>
      <c r="F140" s="1">
        <v>45209</v>
      </c>
    </row>
    <row r="141" spans="1:6" x14ac:dyDescent="0.35">
      <c r="A141" t="s">
        <v>577</v>
      </c>
      <c r="B141" t="s">
        <v>211</v>
      </c>
      <c r="C141" t="s">
        <v>444</v>
      </c>
      <c r="D141" t="s">
        <v>437</v>
      </c>
      <c r="E141">
        <v>4019.13</v>
      </c>
      <c r="F141" s="1">
        <v>44962</v>
      </c>
    </row>
    <row r="142" spans="1:6" x14ac:dyDescent="0.35">
      <c r="A142" t="s">
        <v>578</v>
      </c>
      <c r="B142" t="s">
        <v>212</v>
      </c>
      <c r="C142" t="s">
        <v>440</v>
      </c>
      <c r="D142" t="s">
        <v>432</v>
      </c>
      <c r="E142">
        <v>3689.35</v>
      </c>
      <c r="F142" s="1">
        <v>45092</v>
      </c>
    </row>
    <row r="143" spans="1:6" x14ac:dyDescent="0.35">
      <c r="A143" t="s">
        <v>579</v>
      </c>
      <c r="B143" t="s">
        <v>213</v>
      </c>
      <c r="C143" t="s">
        <v>434</v>
      </c>
      <c r="D143" t="s">
        <v>435</v>
      </c>
      <c r="E143">
        <v>662.72</v>
      </c>
      <c r="F143" s="1">
        <v>45231</v>
      </c>
    </row>
    <row r="144" spans="1:6" x14ac:dyDescent="0.35">
      <c r="A144" t="s">
        <v>580</v>
      </c>
      <c r="B144" t="s">
        <v>214</v>
      </c>
      <c r="C144" t="s">
        <v>434</v>
      </c>
      <c r="D144" t="s">
        <v>437</v>
      </c>
      <c r="E144">
        <v>1864.08</v>
      </c>
      <c r="F144" s="1">
        <v>45190</v>
      </c>
    </row>
    <row r="145" spans="1:6" x14ac:dyDescent="0.35">
      <c r="A145" t="s">
        <v>581</v>
      </c>
      <c r="B145" t="s">
        <v>215</v>
      </c>
      <c r="C145" t="s">
        <v>431</v>
      </c>
      <c r="D145" t="s">
        <v>435</v>
      </c>
      <c r="E145">
        <v>1684.01</v>
      </c>
      <c r="F145" s="1">
        <v>45154</v>
      </c>
    </row>
    <row r="146" spans="1:6" x14ac:dyDescent="0.35">
      <c r="A146" t="s">
        <v>582</v>
      </c>
      <c r="B146" t="s">
        <v>216</v>
      </c>
      <c r="C146" t="s">
        <v>456</v>
      </c>
      <c r="D146" t="s">
        <v>435</v>
      </c>
      <c r="E146">
        <v>2120.61</v>
      </c>
      <c r="F146" s="1">
        <v>45241</v>
      </c>
    </row>
    <row r="147" spans="1:6" x14ac:dyDescent="0.35">
      <c r="A147" t="s">
        <v>583</v>
      </c>
      <c r="B147" t="s">
        <v>217</v>
      </c>
      <c r="C147" t="s">
        <v>434</v>
      </c>
      <c r="D147" t="s">
        <v>435</v>
      </c>
      <c r="E147">
        <v>894.39</v>
      </c>
      <c r="F147" s="1">
        <v>44931</v>
      </c>
    </row>
    <row r="148" spans="1:6" x14ac:dyDescent="0.35">
      <c r="A148" t="s">
        <v>584</v>
      </c>
      <c r="B148" t="s">
        <v>218</v>
      </c>
      <c r="C148" t="s">
        <v>434</v>
      </c>
      <c r="D148" t="s">
        <v>432</v>
      </c>
      <c r="E148">
        <v>4716.3100000000004</v>
      </c>
      <c r="F148" s="1">
        <v>45243</v>
      </c>
    </row>
    <row r="149" spans="1:6" x14ac:dyDescent="0.35">
      <c r="A149" t="s">
        <v>585</v>
      </c>
      <c r="B149" t="s">
        <v>219</v>
      </c>
      <c r="C149" t="s">
        <v>444</v>
      </c>
      <c r="D149" t="s">
        <v>435</v>
      </c>
      <c r="E149">
        <v>2992.11</v>
      </c>
      <c r="F149" s="1">
        <v>45266</v>
      </c>
    </row>
    <row r="150" spans="1:6" x14ac:dyDescent="0.35">
      <c r="A150" t="s">
        <v>586</v>
      </c>
      <c r="B150" t="s">
        <v>220</v>
      </c>
      <c r="C150" t="s">
        <v>444</v>
      </c>
      <c r="D150" t="s">
        <v>435</v>
      </c>
      <c r="E150">
        <v>1874.86</v>
      </c>
      <c r="F150" s="1">
        <v>45133</v>
      </c>
    </row>
    <row r="151" spans="1:6" x14ac:dyDescent="0.35">
      <c r="A151" t="s">
        <v>587</v>
      </c>
      <c r="B151" t="s">
        <v>221</v>
      </c>
      <c r="C151" t="s">
        <v>440</v>
      </c>
      <c r="D151" t="s">
        <v>435</v>
      </c>
      <c r="E151">
        <v>2286.42</v>
      </c>
      <c r="F151" s="1">
        <v>45154</v>
      </c>
    </row>
    <row r="152" spans="1:6" x14ac:dyDescent="0.35">
      <c r="A152" t="s">
        <v>588</v>
      </c>
      <c r="B152" t="s">
        <v>222</v>
      </c>
      <c r="C152" t="s">
        <v>431</v>
      </c>
      <c r="D152" t="s">
        <v>437</v>
      </c>
      <c r="E152">
        <v>2512.41</v>
      </c>
      <c r="F152" s="1">
        <v>44954</v>
      </c>
    </row>
    <row r="153" spans="1:6" x14ac:dyDescent="0.35">
      <c r="A153" t="s">
        <v>589</v>
      </c>
      <c r="B153" t="s">
        <v>223</v>
      </c>
      <c r="C153" t="s">
        <v>440</v>
      </c>
      <c r="D153" t="s">
        <v>437</v>
      </c>
      <c r="E153">
        <v>3202.67</v>
      </c>
      <c r="F153" s="1">
        <v>45030</v>
      </c>
    </row>
    <row r="154" spans="1:6" x14ac:dyDescent="0.35">
      <c r="A154" t="s">
        <v>590</v>
      </c>
      <c r="B154" t="s">
        <v>224</v>
      </c>
      <c r="C154" t="s">
        <v>444</v>
      </c>
      <c r="D154" t="s">
        <v>432</v>
      </c>
      <c r="E154">
        <v>2820.56</v>
      </c>
      <c r="F154" s="1">
        <v>45115</v>
      </c>
    </row>
    <row r="155" spans="1:6" x14ac:dyDescent="0.35">
      <c r="A155" t="s">
        <v>591</v>
      </c>
      <c r="B155" t="s">
        <v>225</v>
      </c>
      <c r="C155" t="s">
        <v>456</v>
      </c>
      <c r="D155" t="s">
        <v>432</v>
      </c>
      <c r="E155">
        <v>4637.26</v>
      </c>
      <c r="F155" s="1">
        <v>44991</v>
      </c>
    </row>
    <row r="156" spans="1:6" x14ac:dyDescent="0.35">
      <c r="A156" t="s">
        <v>592</v>
      </c>
      <c r="B156" t="s">
        <v>226</v>
      </c>
      <c r="C156" t="s">
        <v>444</v>
      </c>
      <c r="D156" t="s">
        <v>437</v>
      </c>
      <c r="E156">
        <v>2736.34</v>
      </c>
      <c r="F156" s="1">
        <v>44929</v>
      </c>
    </row>
    <row r="157" spans="1:6" x14ac:dyDescent="0.35">
      <c r="A157" t="s">
        <v>593</v>
      </c>
      <c r="B157" t="s">
        <v>227</v>
      </c>
      <c r="C157" t="s">
        <v>431</v>
      </c>
      <c r="D157" t="s">
        <v>432</v>
      </c>
      <c r="E157">
        <v>4964.71</v>
      </c>
      <c r="F157" s="1">
        <v>45252</v>
      </c>
    </row>
    <row r="158" spans="1:6" x14ac:dyDescent="0.35">
      <c r="A158" t="s">
        <v>594</v>
      </c>
      <c r="B158" t="s">
        <v>228</v>
      </c>
      <c r="C158" t="s">
        <v>444</v>
      </c>
      <c r="D158" t="s">
        <v>437</v>
      </c>
      <c r="E158">
        <v>4331.41</v>
      </c>
      <c r="F158" s="1">
        <v>45058</v>
      </c>
    </row>
    <row r="159" spans="1:6" x14ac:dyDescent="0.35">
      <c r="A159" t="s">
        <v>595</v>
      </c>
      <c r="B159" t="s">
        <v>229</v>
      </c>
      <c r="C159" t="s">
        <v>431</v>
      </c>
      <c r="D159" t="s">
        <v>435</v>
      </c>
      <c r="E159">
        <v>1438.3</v>
      </c>
      <c r="F159" s="1">
        <v>45119</v>
      </c>
    </row>
    <row r="160" spans="1:6" x14ac:dyDescent="0.35">
      <c r="A160" t="s">
        <v>596</v>
      </c>
      <c r="B160" t="s">
        <v>230</v>
      </c>
      <c r="C160" t="s">
        <v>431</v>
      </c>
      <c r="D160" t="s">
        <v>435</v>
      </c>
      <c r="E160">
        <v>4687.68</v>
      </c>
      <c r="F160" s="1">
        <v>45024</v>
      </c>
    </row>
    <row r="161" spans="1:6" x14ac:dyDescent="0.35">
      <c r="A161" t="s">
        <v>597</v>
      </c>
      <c r="B161" t="s">
        <v>231</v>
      </c>
      <c r="C161" t="s">
        <v>431</v>
      </c>
      <c r="D161" t="s">
        <v>432</v>
      </c>
      <c r="E161">
        <v>1023.65</v>
      </c>
      <c r="F161" s="1">
        <v>45277</v>
      </c>
    </row>
    <row r="162" spans="1:6" x14ac:dyDescent="0.35">
      <c r="A162" t="s">
        <v>598</v>
      </c>
      <c r="B162" t="s">
        <v>232</v>
      </c>
      <c r="C162" t="s">
        <v>431</v>
      </c>
      <c r="D162" t="s">
        <v>437</v>
      </c>
      <c r="E162">
        <v>4178.5200000000004</v>
      </c>
      <c r="F162" s="1">
        <v>45094</v>
      </c>
    </row>
    <row r="163" spans="1:6" x14ac:dyDescent="0.35">
      <c r="A163" t="s">
        <v>599</v>
      </c>
      <c r="B163" t="s">
        <v>233</v>
      </c>
      <c r="C163" t="s">
        <v>431</v>
      </c>
      <c r="D163" t="s">
        <v>437</v>
      </c>
      <c r="E163">
        <v>2212.8000000000002</v>
      </c>
      <c r="F163" s="1">
        <v>44927</v>
      </c>
    </row>
    <row r="164" spans="1:6" x14ac:dyDescent="0.35">
      <c r="A164" t="s">
        <v>600</v>
      </c>
      <c r="B164" t="s">
        <v>235</v>
      </c>
      <c r="C164" t="s">
        <v>456</v>
      </c>
      <c r="D164" t="s">
        <v>432</v>
      </c>
      <c r="E164">
        <v>4450.88</v>
      </c>
      <c r="F164" s="1">
        <v>45104</v>
      </c>
    </row>
    <row r="165" spans="1:6" x14ac:dyDescent="0.35">
      <c r="A165" t="s">
        <v>601</v>
      </c>
      <c r="B165" t="s">
        <v>236</v>
      </c>
      <c r="C165" t="s">
        <v>440</v>
      </c>
      <c r="D165" t="s">
        <v>437</v>
      </c>
      <c r="E165">
        <v>4406.26</v>
      </c>
      <c r="F165" s="1">
        <v>45135</v>
      </c>
    </row>
    <row r="166" spans="1:6" x14ac:dyDescent="0.35">
      <c r="A166" t="s">
        <v>602</v>
      </c>
      <c r="B166" t="s">
        <v>237</v>
      </c>
      <c r="C166" t="s">
        <v>434</v>
      </c>
      <c r="D166" t="s">
        <v>435</v>
      </c>
      <c r="E166">
        <v>4126.66</v>
      </c>
      <c r="F166" s="1">
        <v>45020</v>
      </c>
    </row>
    <row r="167" spans="1:6" x14ac:dyDescent="0.35">
      <c r="A167" t="s">
        <v>603</v>
      </c>
      <c r="B167" t="s">
        <v>238</v>
      </c>
      <c r="C167" t="s">
        <v>440</v>
      </c>
      <c r="D167" t="s">
        <v>432</v>
      </c>
      <c r="E167">
        <v>4055.14</v>
      </c>
      <c r="F167" s="1">
        <v>44938</v>
      </c>
    </row>
    <row r="168" spans="1:6" x14ac:dyDescent="0.35">
      <c r="A168" t="s">
        <v>604</v>
      </c>
      <c r="B168" t="s">
        <v>239</v>
      </c>
      <c r="C168" t="s">
        <v>431</v>
      </c>
      <c r="D168" t="s">
        <v>432</v>
      </c>
      <c r="E168">
        <v>1871.06</v>
      </c>
      <c r="F168" s="1">
        <v>45245</v>
      </c>
    </row>
    <row r="169" spans="1:6" x14ac:dyDescent="0.35">
      <c r="A169" t="s">
        <v>605</v>
      </c>
      <c r="B169" t="s">
        <v>240</v>
      </c>
      <c r="C169" t="s">
        <v>456</v>
      </c>
      <c r="D169" t="s">
        <v>437</v>
      </c>
      <c r="E169">
        <v>864.14</v>
      </c>
      <c r="F169" s="1">
        <v>45198</v>
      </c>
    </row>
    <row r="170" spans="1:6" x14ac:dyDescent="0.35">
      <c r="A170" t="s">
        <v>606</v>
      </c>
      <c r="B170" t="s">
        <v>241</v>
      </c>
      <c r="C170" t="s">
        <v>444</v>
      </c>
      <c r="D170" t="s">
        <v>432</v>
      </c>
      <c r="E170">
        <v>2313.41</v>
      </c>
      <c r="F170" s="1">
        <v>45131</v>
      </c>
    </row>
    <row r="171" spans="1:6" x14ac:dyDescent="0.35">
      <c r="A171" t="s">
        <v>607</v>
      </c>
      <c r="B171" t="s">
        <v>242</v>
      </c>
      <c r="C171" t="s">
        <v>456</v>
      </c>
      <c r="D171" t="s">
        <v>437</v>
      </c>
      <c r="E171">
        <v>1280.8599999999999</v>
      </c>
      <c r="F171" s="1">
        <v>44988</v>
      </c>
    </row>
    <row r="172" spans="1:6" x14ac:dyDescent="0.35">
      <c r="A172" t="s">
        <v>608</v>
      </c>
      <c r="B172" t="s">
        <v>243</v>
      </c>
      <c r="C172" t="s">
        <v>431</v>
      </c>
      <c r="D172" t="s">
        <v>437</v>
      </c>
      <c r="E172">
        <v>3627.28</v>
      </c>
      <c r="F172" s="1">
        <v>45034</v>
      </c>
    </row>
    <row r="173" spans="1:6" x14ac:dyDescent="0.35">
      <c r="A173" t="s">
        <v>609</v>
      </c>
      <c r="B173" t="s">
        <v>244</v>
      </c>
      <c r="C173" t="s">
        <v>456</v>
      </c>
      <c r="D173" t="s">
        <v>437</v>
      </c>
      <c r="E173">
        <v>2057.4499999999998</v>
      </c>
      <c r="F173" s="1">
        <v>44994</v>
      </c>
    </row>
    <row r="174" spans="1:6" x14ac:dyDescent="0.35">
      <c r="A174" t="s">
        <v>610</v>
      </c>
      <c r="B174" t="s">
        <v>245</v>
      </c>
      <c r="C174" t="s">
        <v>456</v>
      </c>
      <c r="D174" t="s">
        <v>437</v>
      </c>
      <c r="E174">
        <v>4890.25</v>
      </c>
      <c r="F174" s="1">
        <v>45081</v>
      </c>
    </row>
    <row r="175" spans="1:6" x14ac:dyDescent="0.35">
      <c r="A175" t="s">
        <v>611</v>
      </c>
      <c r="B175" t="s">
        <v>246</v>
      </c>
      <c r="C175" t="s">
        <v>431</v>
      </c>
      <c r="D175" t="s">
        <v>437</v>
      </c>
      <c r="E175">
        <v>3384.37</v>
      </c>
      <c r="F175" s="1">
        <v>45230</v>
      </c>
    </row>
    <row r="176" spans="1:6" x14ac:dyDescent="0.35">
      <c r="A176" t="s">
        <v>612</v>
      </c>
      <c r="B176" t="s">
        <v>247</v>
      </c>
      <c r="C176" t="s">
        <v>456</v>
      </c>
      <c r="D176" t="s">
        <v>432</v>
      </c>
      <c r="E176">
        <v>4201.16</v>
      </c>
      <c r="F176" s="1">
        <v>45221</v>
      </c>
    </row>
    <row r="177" spans="1:6" x14ac:dyDescent="0.35">
      <c r="A177" t="s">
        <v>613</v>
      </c>
      <c r="B177" t="s">
        <v>248</v>
      </c>
      <c r="C177" t="s">
        <v>434</v>
      </c>
      <c r="D177" t="s">
        <v>435</v>
      </c>
      <c r="E177">
        <v>1096.3599999999999</v>
      </c>
      <c r="F177" s="1">
        <v>45042</v>
      </c>
    </row>
    <row r="178" spans="1:6" x14ac:dyDescent="0.35">
      <c r="A178" t="s">
        <v>614</v>
      </c>
      <c r="B178" t="s">
        <v>249</v>
      </c>
      <c r="C178" t="s">
        <v>434</v>
      </c>
      <c r="D178" t="s">
        <v>435</v>
      </c>
      <c r="E178">
        <v>4379.07</v>
      </c>
      <c r="F178" s="1">
        <v>45154</v>
      </c>
    </row>
    <row r="179" spans="1:6" x14ac:dyDescent="0.35">
      <c r="A179" t="s">
        <v>615</v>
      </c>
      <c r="B179" t="s">
        <v>250</v>
      </c>
      <c r="C179" t="s">
        <v>456</v>
      </c>
      <c r="D179" t="s">
        <v>432</v>
      </c>
      <c r="E179">
        <v>4652.41</v>
      </c>
      <c r="F179" s="1">
        <v>44943</v>
      </c>
    </row>
    <row r="180" spans="1:6" x14ac:dyDescent="0.35">
      <c r="A180" t="s">
        <v>616</v>
      </c>
      <c r="B180" t="s">
        <v>251</v>
      </c>
      <c r="C180" t="s">
        <v>444</v>
      </c>
      <c r="D180" t="s">
        <v>432</v>
      </c>
      <c r="E180">
        <v>2691.78</v>
      </c>
      <c r="F180" s="1">
        <v>44993</v>
      </c>
    </row>
    <row r="181" spans="1:6" x14ac:dyDescent="0.35">
      <c r="A181" t="s">
        <v>617</v>
      </c>
      <c r="B181" t="s">
        <v>253</v>
      </c>
      <c r="C181" t="s">
        <v>431</v>
      </c>
      <c r="D181" t="s">
        <v>435</v>
      </c>
      <c r="E181">
        <v>3228.14</v>
      </c>
      <c r="F181" s="1">
        <v>44933</v>
      </c>
    </row>
    <row r="182" spans="1:6" x14ac:dyDescent="0.35">
      <c r="A182" t="s">
        <v>618</v>
      </c>
      <c r="B182" t="s">
        <v>254</v>
      </c>
      <c r="C182" t="s">
        <v>434</v>
      </c>
      <c r="D182" t="s">
        <v>435</v>
      </c>
      <c r="E182">
        <v>3941.64</v>
      </c>
      <c r="F182" s="1">
        <v>45172</v>
      </c>
    </row>
    <row r="183" spans="1:6" x14ac:dyDescent="0.35">
      <c r="A183" t="s">
        <v>619</v>
      </c>
      <c r="B183" t="s">
        <v>255</v>
      </c>
      <c r="C183" t="s">
        <v>444</v>
      </c>
      <c r="D183" t="s">
        <v>435</v>
      </c>
      <c r="E183">
        <v>1286.77</v>
      </c>
      <c r="F183" s="1">
        <v>45028</v>
      </c>
    </row>
    <row r="184" spans="1:6" x14ac:dyDescent="0.35">
      <c r="A184" t="s">
        <v>620</v>
      </c>
      <c r="B184" t="s">
        <v>256</v>
      </c>
      <c r="C184" t="s">
        <v>456</v>
      </c>
      <c r="D184" t="s">
        <v>435</v>
      </c>
      <c r="E184">
        <v>2761.55</v>
      </c>
      <c r="F184" s="1">
        <v>44960</v>
      </c>
    </row>
    <row r="185" spans="1:6" x14ac:dyDescent="0.35">
      <c r="A185" t="s">
        <v>621</v>
      </c>
      <c r="B185" t="s">
        <v>257</v>
      </c>
      <c r="C185" t="s">
        <v>444</v>
      </c>
      <c r="D185" t="s">
        <v>435</v>
      </c>
      <c r="E185">
        <v>2293.98</v>
      </c>
      <c r="F185" s="1">
        <v>44983</v>
      </c>
    </row>
    <row r="186" spans="1:6" x14ac:dyDescent="0.35">
      <c r="A186" t="s">
        <v>622</v>
      </c>
      <c r="B186" t="s">
        <v>258</v>
      </c>
      <c r="C186" t="s">
        <v>440</v>
      </c>
      <c r="D186" t="s">
        <v>437</v>
      </c>
      <c r="E186">
        <v>1158.68</v>
      </c>
      <c r="F186" s="1">
        <v>45006</v>
      </c>
    </row>
    <row r="187" spans="1:6" x14ac:dyDescent="0.35">
      <c r="A187" t="s">
        <v>623</v>
      </c>
      <c r="B187" t="s">
        <v>259</v>
      </c>
      <c r="C187" t="s">
        <v>434</v>
      </c>
      <c r="D187" t="s">
        <v>432</v>
      </c>
      <c r="E187">
        <v>2153.9</v>
      </c>
      <c r="F187" s="1">
        <v>45012</v>
      </c>
    </row>
    <row r="188" spans="1:6" x14ac:dyDescent="0.35">
      <c r="A188" t="s">
        <v>624</v>
      </c>
      <c r="B188" t="s">
        <v>260</v>
      </c>
      <c r="C188" t="s">
        <v>456</v>
      </c>
      <c r="D188" t="s">
        <v>437</v>
      </c>
      <c r="E188">
        <v>806.78</v>
      </c>
      <c r="F188" s="1">
        <v>44970</v>
      </c>
    </row>
    <row r="189" spans="1:6" x14ac:dyDescent="0.35">
      <c r="A189" t="s">
        <v>625</v>
      </c>
      <c r="B189" t="s">
        <v>261</v>
      </c>
      <c r="C189" t="s">
        <v>431</v>
      </c>
      <c r="D189" t="s">
        <v>435</v>
      </c>
      <c r="E189">
        <v>616.15</v>
      </c>
      <c r="F189" s="1">
        <v>45028</v>
      </c>
    </row>
    <row r="190" spans="1:6" x14ac:dyDescent="0.35">
      <c r="A190" t="s">
        <v>626</v>
      </c>
      <c r="B190" t="s">
        <v>262</v>
      </c>
      <c r="C190" t="s">
        <v>456</v>
      </c>
      <c r="D190" t="s">
        <v>435</v>
      </c>
      <c r="E190">
        <v>1108.25</v>
      </c>
      <c r="F190" s="1">
        <v>45204</v>
      </c>
    </row>
    <row r="191" spans="1:6" x14ac:dyDescent="0.35">
      <c r="A191" t="s">
        <v>627</v>
      </c>
      <c r="B191" t="s">
        <v>263</v>
      </c>
      <c r="C191" t="s">
        <v>431</v>
      </c>
      <c r="D191" t="s">
        <v>435</v>
      </c>
      <c r="E191">
        <v>4834.0200000000004</v>
      </c>
      <c r="F191" s="1">
        <v>45246</v>
      </c>
    </row>
    <row r="192" spans="1:6" x14ac:dyDescent="0.35">
      <c r="A192" t="s">
        <v>628</v>
      </c>
      <c r="B192" t="s">
        <v>264</v>
      </c>
      <c r="C192" t="s">
        <v>456</v>
      </c>
      <c r="D192" t="s">
        <v>437</v>
      </c>
      <c r="E192">
        <v>2972.88</v>
      </c>
      <c r="F192" s="1">
        <v>45028</v>
      </c>
    </row>
    <row r="193" spans="1:6" x14ac:dyDescent="0.35">
      <c r="A193" t="s">
        <v>629</v>
      </c>
      <c r="B193" t="s">
        <v>265</v>
      </c>
      <c r="C193" t="s">
        <v>444</v>
      </c>
      <c r="D193" t="s">
        <v>437</v>
      </c>
      <c r="E193">
        <v>4846.2</v>
      </c>
      <c r="F193" s="1">
        <v>45169</v>
      </c>
    </row>
    <row r="194" spans="1:6" x14ac:dyDescent="0.35">
      <c r="A194" t="s">
        <v>630</v>
      </c>
      <c r="B194" t="s">
        <v>266</v>
      </c>
      <c r="C194" t="s">
        <v>444</v>
      </c>
      <c r="D194" t="s">
        <v>435</v>
      </c>
      <c r="E194">
        <v>2446.2399999999998</v>
      </c>
      <c r="F194" s="1">
        <v>45184</v>
      </c>
    </row>
    <row r="195" spans="1:6" x14ac:dyDescent="0.35">
      <c r="A195" t="s">
        <v>631</v>
      </c>
      <c r="B195" t="s">
        <v>267</v>
      </c>
      <c r="C195" t="s">
        <v>444</v>
      </c>
      <c r="D195" t="s">
        <v>437</v>
      </c>
      <c r="E195">
        <v>1903.17</v>
      </c>
      <c r="F195" s="1">
        <v>45022</v>
      </c>
    </row>
    <row r="196" spans="1:6" x14ac:dyDescent="0.35">
      <c r="A196" t="s">
        <v>632</v>
      </c>
      <c r="B196" t="s">
        <v>268</v>
      </c>
      <c r="C196" t="s">
        <v>440</v>
      </c>
      <c r="D196" t="s">
        <v>437</v>
      </c>
      <c r="E196">
        <v>2777.64</v>
      </c>
      <c r="F196" s="1">
        <v>45157</v>
      </c>
    </row>
    <row r="197" spans="1:6" x14ac:dyDescent="0.35">
      <c r="A197" t="s">
        <v>633</v>
      </c>
      <c r="B197" t="s">
        <v>269</v>
      </c>
      <c r="C197" t="s">
        <v>431</v>
      </c>
      <c r="D197" t="s">
        <v>435</v>
      </c>
      <c r="E197">
        <v>2477.8000000000002</v>
      </c>
      <c r="F197" s="1">
        <v>45225</v>
      </c>
    </row>
    <row r="198" spans="1:6" x14ac:dyDescent="0.35">
      <c r="A198" t="s">
        <v>634</v>
      </c>
      <c r="B198" t="s">
        <v>270</v>
      </c>
      <c r="C198" t="s">
        <v>444</v>
      </c>
      <c r="D198" t="s">
        <v>437</v>
      </c>
      <c r="E198">
        <v>975.49</v>
      </c>
      <c r="F198" s="1">
        <v>45017</v>
      </c>
    </row>
    <row r="199" spans="1:6" x14ac:dyDescent="0.35">
      <c r="A199" t="s">
        <v>635</v>
      </c>
      <c r="B199" t="s">
        <v>271</v>
      </c>
      <c r="C199" t="s">
        <v>440</v>
      </c>
      <c r="D199" t="s">
        <v>432</v>
      </c>
      <c r="E199">
        <v>3383.72</v>
      </c>
      <c r="F199" s="1">
        <v>45061</v>
      </c>
    </row>
    <row r="200" spans="1:6" x14ac:dyDescent="0.35">
      <c r="A200" t="s">
        <v>636</v>
      </c>
      <c r="B200" t="s">
        <v>272</v>
      </c>
      <c r="C200" t="s">
        <v>431</v>
      </c>
      <c r="D200" t="s">
        <v>432</v>
      </c>
      <c r="E200">
        <v>1472.17</v>
      </c>
      <c r="F200" s="1">
        <v>45047</v>
      </c>
    </row>
    <row r="201" spans="1:6" x14ac:dyDescent="0.35">
      <c r="A201" t="s">
        <v>637</v>
      </c>
      <c r="B201" t="s">
        <v>273</v>
      </c>
      <c r="C201" t="s">
        <v>456</v>
      </c>
      <c r="D201" t="s">
        <v>432</v>
      </c>
      <c r="E201">
        <v>3288.15</v>
      </c>
      <c r="F201" s="1">
        <v>45290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B5A3-8A7A-4240-9BE8-BA9394B48914}">
  <dimension ref="A1:H11"/>
  <sheetViews>
    <sheetView topLeftCell="C1" workbookViewId="0">
      <selection activeCell="C10" sqref="C10"/>
    </sheetView>
  </sheetViews>
  <sheetFormatPr defaultRowHeight="14.5" x14ac:dyDescent="0.35"/>
  <cols>
    <col min="1" max="1" width="10.90625" bestFit="1" customWidth="1"/>
    <col min="2" max="2" width="12" bestFit="1" customWidth="1"/>
    <col min="3" max="3" width="11.7265625" bestFit="1" customWidth="1"/>
    <col min="4" max="4" width="14.81640625" bestFit="1" customWidth="1"/>
    <col min="5" max="5" width="15.81640625" bestFit="1" customWidth="1"/>
    <col min="6" max="6" width="17.7265625" bestFit="1" customWidth="1"/>
    <col min="7" max="7" width="16.7265625" bestFit="1" customWidth="1"/>
    <col min="8" max="8" width="25.1796875" bestFit="1" customWidth="1"/>
  </cols>
  <sheetData>
    <row r="1" spans="1:8" x14ac:dyDescent="0.35">
      <c r="A1" t="s">
        <v>2</v>
      </c>
      <c r="B1" t="s">
        <v>274</v>
      </c>
      <c r="C1" t="s">
        <v>275</v>
      </c>
      <c r="D1" t="s">
        <v>405</v>
      </c>
      <c r="E1" t="s">
        <v>406</v>
      </c>
      <c r="F1" t="s">
        <v>407</v>
      </c>
      <c r="G1" t="s">
        <v>408</v>
      </c>
      <c r="H1" t="s">
        <v>283</v>
      </c>
    </row>
    <row r="2" spans="1:8" x14ac:dyDescent="0.35">
      <c r="A2" t="s">
        <v>59</v>
      </c>
      <c r="B2" t="s">
        <v>284</v>
      </c>
      <c r="C2" t="s">
        <v>325</v>
      </c>
      <c r="D2" t="s">
        <v>409</v>
      </c>
      <c r="E2">
        <v>8322010158</v>
      </c>
      <c r="F2">
        <v>17</v>
      </c>
      <c r="G2" t="s">
        <v>410</v>
      </c>
      <c r="H2" t="s">
        <v>411</v>
      </c>
    </row>
    <row r="3" spans="1:8" x14ac:dyDescent="0.35">
      <c r="A3" t="s">
        <v>48</v>
      </c>
      <c r="B3" t="s">
        <v>340</v>
      </c>
      <c r="C3" t="s">
        <v>319</v>
      </c>
      <c r="D3" t="s">
        <v>412</v>
      </c>
      <c r="E3">
        <v>9004382050</v>
      </c>
      <c r="F3">
        <v>24</v>
      </c>
      <c r="G3" t="s">
        <v>413</v>
      </c>
      <c r="H3" t="s">
        <v>414</v>
      </c>
    </row>
    <row r="4" spans="1:8" x14ac:dyDescent="0.35">
      <c r="A4" t="s">
        <v>25</v>
      </c>
      <c r="B4" t="s">
        <v>340</v>
      </c>
      <c r="C4" t="s">
        <v>292</v>
      </c>
      <c r="D4" t="s">
        <v>412</v>
      </c>
      <c r="E4">
        <v>8737740598</v>
      </c>
      <c r="F4">
        <v>19</v>
      </c>
      <c r="G4" t="s">
        <v>413</v>
      </c>
      <c r="H4" t="s">
        <v>415</v>
      </c>
    </row>
    <row r="5" spans="1:8" x14ac:dyDescent="0.35">
      <c r="A5" t="s">
        <v>14</v>
      </c>
      <c r="B5" t="s">
        <v>284</v>
      </c>
      <c r="C5" t="s">
        <v>298</v>
      </c>
      <c r="D5" t="s">
        <v>412</v>
      </c>
      <c r="E5">
        <v>6594221991</v>
      </c>
      <c r="F5">
        <v>28</v>
      </c>
      <c r="G5" t="s">
        <v>416</v>
      </c>
      <c r="H5" t="s">
        <v>417</v>
      </c>
    </row>
    <row r="6" spans="1:8" x14ac:dyDescent="0.35">
      <c r="A6" t="s">
        <v>74</v>
      </c>
      <c r="B6" t="s">
        <v>336</v>
      </c>
      <c r="C6" t="s">
        <v>325</v>
      </c>
      <c r="D6" t="s">
        <v>409</v>
      </c>
      <c r="E6">
        <v>9118538547</v>
      </c>
      <c r="F6">
        <v>26</v>
      </c>
      <c r="G6" t="s">
        <v>416</v>
      </c>
      <c r="H6" t="s">
        <v>418</v>
      </c>
    </row>
    <row r="7" spans="1:8" x14ac:dyDescent="0.35">
      <c r="A7" t="s">
        <v>22</v>
      </c>
      <c r="B7" t="s">
        <v>316</v>
      </c>
      <c r="C7" t="s">
        <v>319</v>
      </c>
      <c r="D7" t="s">
        <v>412</v>
      </c>
      <c r="E7">
        <v>6570137231</v>
      </c>
      <c r="F7">
        <v>23</v>
      </c>
      <c r="G7" t="s">
        <v>416</v>
      </c>
      <c r="H7" t="s">
        <v>419</v>
      </c>
    </row>
    <row r="8" spans="1:8" x14ac:dyDescent="0.35">
      <c r="A8" t="s">
        <v>32</v>
      </c>
      <c r="B8" t="s">
        <v>361</v>
      </c>
      <c r="C8" t="s">
        <v>319</v>
      </c>
      <c r="D8" t="s">
        <v>420</v>
      </c>
      <c r="E8">
        <v>8217493115</v>
      </c>
      <c r="F8">
        <v>26</v>
      </c>
      <c r="G8" t="s">
        <v>410</v>
      </c>
      <c r="H8" t="s">
        <v>421</v>
      </c>
    </row>
    <row r="9" spans="1:8" x14ac:dyDescent="0.35">
      <c r="A9" t="s">
        <v>54</v>
      </c>
      <c r="B9" t="s">
        <v>313</v>
      </c>
      <c r="C9" t="s">
        <v>354</v>
      </c>
      <c r="D9" t="s">
        <v>409</v>
      </c>
      <c r="E9">
        <v>9069162601</v>
      </c>
      <c r="F9">
        <v>5</v>
      </c>
      <c r="G9" t="s">
        <v>410</v>
      </c>
      <c r="H9" t="s">
        <v>422</v>
      </c>
    </row>
    <row r="10" spans="1:8" x14ac:dyDescent="0.35">
      <c r="A10" t="s">
        <v>9</v>
      </c>
      <c r="B10" t="s">
        <v>336</v>
      </c>
      <c r="C10" t="s">
        <v>292</v>
      </c>
      <c r="D10" t="s">
        <v>412</v>
      </c>
      <c r="E10">
        <v>7387087517</v>
      </c>
      <c r="F10">
        <v>26</v>
      </c>
      <c r="G10" t="s">
        <v>416</v>
      </c>
      <c r="H10" t="s">
        <v>423</v>
      </c>
    </row>
    <row r="11" spans="1:8" x14ac:dyDescent="0.35">
      <c r="A11" t="s">
        <v>35</v>
      </c>
      <c r="B11" t="s">
        <v>313</v>
      </c>
      <c r="C11" t="s">
        <v>308</v>
      </c>
      <c r="D11" t="s">
        <v>420</v>
      </c>
      <c r="E11">
        <v>6176383634</v>
      </c>
      <c r="F11">
        <v>21</v>
      </c>
      <c r="G11" t="s">
        <v>413</v>
      </c>
      <c r="H11" t="s">
        <v>424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C8DC-B411-4836-8CDC-6C7ED6084DF2}">
  <dimension ref="A1:K51"/>
  <sheetViews>
    <sheetView topLeftCell="G1" workbookViewId="0">
      <selection sqref="A1:A1048576"/>
    </sheetView>
  </sheetViews>
  <sheetFormatPr defaultRowHeight="14.5" x14ac:dyDescent="0.35"/>
  <cols>
    <col min="1" max="1" width="11.54296875" bestFit="1" customWidth="1"/>
    <col min="2" max="2" width="12" bestFit="1" customWidth="1"/>
    <col min="3" max="3" width="11.7265625" bestFit="1" customWidth="1"/>
    <col min="4" max="4" width="8.81640625" bestFit="1" customWidth="1"/>
    <col min="5" max="5" width="14.08984375" bestFit="1" customWidth="1"/>
    <col min="6" max="6" width="16.90625" bestFit="1" customWidth="1"/>
    <col min="7" max="7" width="11.36328125" bestFit="1" customWidth="1"/>
    <col min="8" max="8" width="17.26953125" bestFit="1" customWidth="1"/>
    <col min="9" max="9" width="19.36328125" bestFit="1" customWidth="1"/>
    <col min="10" max="10" width="18.90625" bestFit="1" customWidth="1"/>
    <col min="11" max="11" width="23.6328125" bestFit="1" customWidth="1"/>
  </cols>
  <sheetData>
    <row r="1" spans="1:11" x14ac:dyDescent="0.35">
      <c r="A1" t="s">
        <v>1</v>
      </c>
      <c r="B1" t="s">
        <v>274</v>
      </c>
      <c r="C1" t="s">
        <v>275</v>
      </c>
      <c r="D1" t="s">
        <v>276</v>
      </c>
      <c r="E1" t="s">
        <v>277</v>
      </c>
      <c r="F1" t="s">
        <v>278</v>
      </c>
      <c r="G1" t="s">
        <v>279</v>
      </c>
      <c r="H1" t="s">
        <v>280</v>
      </c>
      <c r="I1" t="s">
        <v>281</v>
      </c>
      <c r="J1" t="s">
        <v>282</v>
      </c>
      <c r="K1" t="s">
        <v>283</v>
      </c>
    </row>
    <row r="2" spans="1:11" x14ac:dyDescent="0.35">
      <c r="A2" t="s">
        <v>31</v>
      </c>
      <c r="B2" t="s">
        <v>284</v>
      </c>
      <c r="C2" t="s">
        <v>285</v>
      </c>
      <c r="D2" t="s">
        <v>286</v>
      </c>
      <c r="E2" s="1">
        <v>20244</v>
      </c>
      <c r="F2">
        <v>6939585183</v>
      </c>
      <c r="G2" t="s">
        <v>287</v>
      </c>
      <c r="H2" s="1">
        <v>44735</v>
      </c>
      <c r="I2" t="s">
        <v>288</v>
      </c>
      <c r="J2" t="s">
        <v>289</v>
      </c>
      <c r="K2" t="s">
        <v>290</v>
      </c>
    </row>
    <row r="3" spans="1:11" x14ac:dyDescent="0.35">
      <c r="A3" t="s">
        <v>112</v>
      </c>
      <c r="B3" t="s">
        <v>291</v>
      </c>
      <c r="C3" t="s">
        <v>292</v>
      </c>
      <c r="D3" t="s">
        <v>286</v>
      </c>
      <c r="E3" s="1">
        <v>30967</v>
      </c>
      <c r="F3">
        <v>8228188767</v>
      </c>
      <c r="G3" t="s">
        <v>293</v>
      </c>
      <c r="H3" s="1">
        <v>44576</v>
      </c>
      <c r="I3" t="s">
        <v>294</v>
      </c>
      <c r="J3" t="s">
        <v>295</v>
      </c>
      <c r="K3" t="s">
        <v>296</v>
      </c>
    </row>
    <row r="4" spans="1:11" x14ac:dyDescent="0.35">
      <c r="A4" t="s">
        <v>47</v>
      </c>
      <c r="B4" t="s">
        <v>297</v>
      </c>
      <c r="C4" t="s">
        <v>298</v>
      </c>
      <c r="D4" t="s">
        <v>299</v>
      </c>
      <c r="E4" s="1">
        <v>28358</v>
      </c>
      <c r="F4">
        <v>8397029847</v>
      </c>
      <c r="G4" t="s">
        <v>293</v>
      </c>
      <c r="H4" s="1">
        <v>44599</v>
      </c>
      <c r="I4" t="s">
        <v>294</v>
      </c>
      <c r="J4" t="s">
        <v>300</v>
      </c>
      <c r="K4" t="s">
        <v>301</v>
      </c>
    </row>
    <row r="5" spans="1:11" x14ac:dyDescent="0.35">
      <c r="A5" t="s">
        <v>106</v>
      </c>
      <c r="B5" t="s">
        <v>302</v>
      </c>
      <c r="C5" t="s">
        <v>303</v>
      </c>
      <c r="D5" t="s">
        <v>286</v>
      </c>
      <c r="E5" s="1">
        <v>29637</v>
      </c>
      <c r="F5">
        <v>9019443432</v>
      </c>
      <c r="G5" t="s">
        <v>304</v>
      </c>
      <c r="H5" s="1">
        <v>44257</v>
      </c>
      <c r="I5" t="s">
        <v>305</v>
      </c>
      <c r="J5" t="s">
        <v>306</v>
      </c>
      <c r="K5" t="s">
        <v>307</v>
      </c>
    </row>
    <row r="6" spans="1:11" x14ac:dyDescent="0.35">
      <c r="A6" t="s">
        <v>40</v>
      </c>
      <c r="B6" t="s">
        <v>284</v>
      </c>
      <c r="C6" t="s">
        <v>308</v>
      </c>
      <c r="D6" t="s">
        <v>299</v>
      </c>
      <c r="E6" s="1">
        <v>22090</v>
      </c>
      <c r="F6">
        <v>7734463155</v>
      </c>
      <c r="G6" t="s">
        <v>304</v>
      </c>
      <c r="H6" s="1">
        <v>44468</v>
      </c>
      <c r="I6" t="s">
        <v>309</v>
      </c>
      <c r="J6" t="s">
        <v>310</v>
      </c>
      <c r="K6" t="s">
        <v>311</v>
      </c>
    </row>
    <row r="7" spans="1:11" x14ac:dyDescent="0.35">
      <c r="A7" t="s">
        <v>312</v>
      </c>
      <c r="B7" t="s">
        <v>313</v>
      </c>
      <c r="C7" t="s">
        <v>298</v>
      </c>
      <c r="D7" t="s">
        <v>299</v>
      </c>
      <c r="E7" s="1">
        <v>23178</v>
      </c>
      <c r="F7">
        <v>7561777264</v>
      </c>
      <c r="G7" t="s">
        <v>293</v>
      </c>
      <c r="H7" s="1">
        <v>44836</v>
      </c>
      <c r="I7" t="s">
        <v>305</v>
      </c>
      <c r="J7" t="s">
        <v>314</v>
      </c>
      <c r="K7" t="s">
        <v>315</v>
      </c>
    </row>
    <row r="8" spans="1:11" x14ac:dyDescent="0.35">
      <c r="A8" t="s">
        <v>163</v>
      </c>
      <c r="B8" t="s">
        <v>316</v>
      </c>
      <c r="C8" t="s">
        <v>303</v>
      </c>
      <c r="D8" t="s">
        <v>286</v>
      </c>
      <c r="E8" s="1">
        <v>32667</v>
      </c>
      <c r="F8">
        <v>6278710077</v>
      </c>
      <c r="G8" t="s">
        <v>287</v>
      </c>
      <c r="H8" s="1">
        <v>44555</v>
      </c>
      <c r="I8" t="s">
        <v>309</v>
      </c>
      <c r="J8" t="s">
        <v>317</v>
      </c>
      <c r="K8" t="s">
        <v>318</v>
      </c>
    </row>
    <row r="9" spans="1:11" x14ac:dyDescent="0.35">
      <c r="A9" t="s">
        <v>154</v>
      </c>
      <c r="B9" t="s">
        <v>284</v>
      </c>
      <c r="C9" t="s">
        <v>319</v>
      </c>
      <c r="D9" t="s">
        <v>286</v>
      </c>
      <c r="E9" s="1">
        <v>27946</v>
      </c>
      <c r="F9">
        <v>7090558393</v>
      </c>
      <c r="G9" t="s">
        <v>320</v>
      </c>
      <c r="H9" s="1">
        <v>44341</v>
      </c>
      <c r="I9" t="s">
        <v>288</v>
      </c>
      <c r="J9" t="s">
        <v>321</v>
      </c>
      <c r="K9" t="s">
        <v>322</v>
      </c>
    </row>
    <row r="10" spans="1:11" x14ac:dyDescent="0.35">
      <c r="A10" t="s">
        <v>177</v>
      </c>
      <c r="B10" t="s">
        <v>297</v>
      </c>
      <c r="C10" t="s">
        <v>319</v>
      </c>
      <c r="D10" t="s">
        <v>299</v>
      </c>
      <c r="E10" s="1">
        <v>26278</v>
      </c>
      <c r="F10">
        <v>7060324619</v>
      </c>
      <c r="G10" t="s">
        <v>293</v>
      </c>
      <c r="H10" s="1">
        <v>44822</v>
      </c>
      <c r="I10" t="s">
        <v>294</v>
      </c>
      <c r="J10" t="s">
        <v>323</v>
      </c>
      <c r="K10" t="s">
        <v>324</v>
      </c>
    </row>
    <row r="11" spans="1:11" x14ac:dyDescent="0.35">
      <c r="A11" t="s">
        <v>92</v>
      </c>
      <c r="B11" t="s">
        <v>302</v>
      </c>
      <c r="C11" t="s">
        <v>325</v>
      </c>
      <c r="D11" t="s">
        <v>299</v>
      </c>
      <c r="E11" s="1">
        <v>37177</v>
      </c>
      <c r="F11">
        <v>7081396733</v>
      </c>
      <c r="G11" t="s">
        <v>304</v>
      </c>
      <c r="H11" s="1">
        <v>44797</v>
      </c>
      <c r="I11" t="s">
        <v>288</v>
      </c>
      <c r="J11" t="s">
        <v>326</v>
      </c>
      <c r="K11" t="s">
        <v>327</v>
      </c>
    </row>
    <row r="12" spans="1:11" x14ac:dyDescent="0.35">
      <c r="A12" t="s">
        <v>168</v>
      </c>
      <c r="B12" t="s">
        <v>291</v>
      </c>
      <c r="C12" t="s">
        <v>298</v>
      </c>
      <c r="D12" t="s">
        <v>286</v>
      </c>
      <c r="E12" s="1">
        <v>24445</v>
      </c>
      <c r="F12">
        <v>8990604070</v>
      </c>
      <c r="G12" t="s">
        <v>287</v>
      </c>
      <c r="H12" s="1">
        <v>44831</v>
      </c>
      <c r="I12" t="s">
        <v>309</v>
      </c>
      <c r="J12" t="s">
        <v>328</v>
      </c>
      <c r="K12" t="s">
        <v>329</v>
      </c>
    </row>
    <row r="13" spans="1:11" x14ac:dyDescent="0.35">
      <c r="A13" t="s">
        <v>50</v>
      </c>
      <c r="B13" t="s">
        <v>297</v>
      </c>
      <c r="C13" t="s">
        <v>319</v>
      </c>
      <c r="D13" t="s">
        <v>286</v>
      </c>
      <c r="E13" s="1">
        <v>33580</v>
      </c>
      <c r="F13">
        <v>8135666049</v>
      </c>
      <c r="G13" t="s">
        <v>293</v>
      </c>
      <c r="H13" s="1">
        <v>45043</v>
      </c>
      <c r="I13" t="s">
        <v>309</v>
      </c>
      <c r="J13" t="s">
        <v>330</v>
      </c>
      <c r="K13" t="s">
        <v>324</v>
      </c>
    </row>
    <row r="14" spans="1:11" x14ac:dyDescent="0.35">
      <c r="A14" t="s">
        <v>142</v>
      </c>
      <c r="B14" t="s">
        <v>297</v>
      </c>
      <c r="C14" t="s">
        <v>303</v>
      </c>
      <c r="D14" t="s">
        <v>286</v>
      </c>
      <c r="E14" s="1">
        <v>32960</v>
      </c>
      <c r="F14">
        <v>9059178882</v>
      </c>
      <c r="G14" t="s">
        <v>293</v>
      </c>
      <c r="H14" s="1">
        <v>44553</v>
      </c>
      <c r="I14" t="s">
        <v>288</v>
      </c>
      <c r="J14" t="s">
        <v>331</v>
      </c>
      <c r="K14" t="s">
        <v>332</v>
      </c>
    </row>
    <row r="15" spans="1:11" x14ac:dyDescent="0.35">
      <c r="A15" t="s">
        <v>61</v>
      </c>
      <c r="B15" t="s">
        <v>316</v>
      </c>
      <c r="C15" t="s">
        <v>325</v>
      </c>
      <c r="D15" t="s">
        <v>299</v>
      </c>
      <c r="E15" s="1">
        <v>24895</v>
      </c>
      <c r="F15">
        <v>7292262512</v>
      </c>
      <c r="G15" t="s">
        <v>287</v>
      </c>
      <c r="H15" s="1">
        <v>45272</v>
      </c>
      <c r="I15" t="s">
        <v>309</v>
      </c>
      <c r="J15" t="s">
        <v>333</v>
      </c>
      <c r="K15" t="s">
        <v>334</v>
      </c>
    </row>
    <row r="16" spans="1:11" x14ac:dyDescent="0.35">
      <c r="A16" t="s">
        <v>335</v>
      </c>
      <c r="B16" t="s">
        <v>336</v>
      </c>
      <c r="C16" t="s">
        <v>303</v>
      </c>
      <c r="D16" t="s">
        <v>299</v>
      </c>
      <c r="E16" s="1">
        <v>23508</v>
      </c>
      <c r="F16">
        <v>6636028516</v>
      </c>
      <c r="G16" t="s">
        <v>293</v>
      </c>
      <c r="H16" s="1">
        <v>44464</v>
      </c>
      <c r="I16" t="s">
        <v>288</v>
      </c>
      <c r="J16" t="s">
        <v>337</v>
      </c>
      <c r="K16" t="s">
        <v>338</v>
      </c>
    </row>
    <row r="17" spans="1:11" x14ac:dyDescent="0.35">
      <c r="A17" t="s">
        <v>34</v>
      </c>
      <c r="B17" t="s">
        <v>302</v>
      </c>
      <c r="C17" t="s">
        <v>325</v>
      </c>
      <c r="D17" t="s">
        <v>299</v>
      </c>
      <c r="E17" s="1">
        <v>36729</v>
      </c>
      <c r="F17">
        <v>7223380592</v>
      </c>
      <c r="G17" t="s">
        <v>287</v>
      </c>
      <c r="H17" s="1">
        <v>44400</v>
      </c>
      <c r="I17" t="s">
        <v>294</v>
      </c>
      <c r="J17" t="s">
        <v>339</v>
      </c>
      <c r="K17" t="s">
        <v>327</v>
      </c>
    </row>
    <row r="18" spans="1:11" x14ac:dyDescent="0.35">
      <c r="A18" t="s">
        <v>151</v>
      </c>
      <c r="B18" t="s">
        <v>340</v>
      </c>
      <c r="C18" t="s">
        <v>298</v>
      </c>
      <c r="D18" t="s">
        <v>299</v>
      </c>
      <c r="E18" s="1">
        <v>33359</v>
      </c>
      <c r="F18">
        <v>6158428240</v>
      </c>
      <c r="G18" t="s">
        <v>320</v>
      </c>
      <c r="H18" s="1">
        <v>44830</v>
      </c>
      <c r="I18" t="s">
        <v>288</v>
      </c>
      <c r="J18" t="s">
        <v>341</v>
      </c>
      <c r="K18" t="s">
        <v>342</v>
      </c>
    </row>
    <row r="19" spans="1:11" x14ac:dyDescent="0.35">
      <c r="A19" t="s">
        <v>185</v>
      </c>
      <c r="B19" t="s">
        <v>297</v>
      </c>
      <c r="C19" t="s">
        <v>308</v>
      </c>
      <c r="D19" t="s">
        <v>299</v>
      </c>
      <c r="E19" s="1">
        <v>29122</v>
      </c>
      <c r="F19">
        <v>7145815738</v>
      </c>
      <c r="G19" t="s">
        <v>287</v>
      </c>
      <c r="H19" s="1">
        <v>44827</v>
      </c>
      <c r="I19" t="s">
        <v>294</v>
      </c>
      <c r="J19" t="s">
        <v>343</v>
      </c>
      <c r="K19" t="s">
        <v>344</v>
      </c>
    </row>
    <row r="20" spans="1:11" x14ac:dyDescent="0.35">
      <c r="A20" t="s">
        <v>100</v>
      </c>
      <c r="B20" t="s">
        <v>336</v>
      </c>
      <c r="C20" t="s">
        <v>345</v>
      </c>
      <c r="D20" t="s">
        <v>299</v>
      </c>
      <c r="E20" s="1">
        <v>27538</v>
      </c>
      <c r="F20">
        <v>8618058864</v>
      </c>
      <c r="G20" t="s">
        <v>287</v>
      </c>
      <c r="H20" s="1">
        <v>45101</v>
      </c>
      <c r="I20" t="s">
        <v>288</v>
      </c>
      <c r="J20" t="s">
        <v>346</v>
      </c>
      <c r="K20" t="s">
        <v>347</v>
      </c>
    </row>
    <row r="21" spans="1:11" x14ac:dyDescent="0.35">
      <c r="A21" t="s">
        <v>119</v>
      </c>
      <c r="B21" t="s">
        <v>340</v>
      </c>
      <c r="C21" t="s">
        <v>348</v>
      </c>
      <c r="D21" t="s">
        <v>286</v>
      </c>
      <c r="E21" s="1">
        <v>37778</v>
      </c>
      <c r="F21">
        <v>8158989953</v>
      </c>
      <c r="G21" t="s">
        <v>287</v>
      </c>
      <c r="H21" s="1">
        <v>44654</v>
      </c>
      <c r="I21" t="s">
        <v>309</v>
      </c>
      <c r="J21" t="s">
        <v>349</v>
      </c>
      <c r="K21" t="s">
        <v>350</v>
      </c>
    </row>
    <row r="22" spans="1:11" x14ac:dyDescent="0.35">
      <c r="A22" t="s">
        <v>81</v>
      </c>
      <c r="B22" t="s">
        <v>302</v>
      </c>
      <c r="C22" t="s">
        <v>308</v>
      </c>
      <c r="D22" t="s">
        <v>299</v>
      </c>
      <c r="E22" s="1">
        <v>37316</v>
      </c>
      <c r="F22">
        <v>7765390555</v>
      </c>
      <c r="G22" t="s">
        <v>293</v>
      </c>
      <c r="H22" s="1">
        <v>44580</v>
      </c>
      <c r="I22" t="s">
        <v>288</v>
      </c>
      <c r="J22" t="s">
        <v>351</v>
      </c>
      <c r="K22" t="s">
        <v>352</v>
      </c>
    </row>
    <row r="23" spans="1:11" x14ac:dyDescent="0.35">
      <c r="A23" t="s">
        <v>43</v>
      </c>
      <c r="B23" t="s">
        <v>353</v>
      </c>
      <c r="C23" t="s">
        <v>354</v>
      </c>
      <c r="D23" t="s">
        <v>299</v>
      </c>
      <c r="E23" s="1">
        <v>20219</v>
      </c>
      <c r="F23">
        <v>6221099573</v>
      </c>
      <c r="G23" t="s">
        <v>293</v>
      </c>
      <c r="H23" s="1">
        <v>44327</v>
      </c>
      <c r="I23" t="s">
        <v>309</v>
      </c>
      <c r="J23" t="s">
        <v>355</v>
      </c>
      <c r="K23" t="s">
        <v>356</v>
      </c>
    </row>
    <row r="24" spans="1:11" x14ac:dyDescent="0.35">
      <c r="A24" t="s">
        <v>90</v>
      </c>
      <c r="B24" t="s">
        <v>313</v>
      </c>
      <c r="C24" t="s">
        <v>303</v>
      </c>
      <c r="D24" t="s">
        <v>299</v>
      </c>
      <c r="E24" s="1">
        <v>34387</v>
      </c>
      <c r="F24">
        <v>6141951830</v>
      </c>
      <c r="G24" t="s">
        <v>287</v>
      </c>
      <c r="H24" s="1">
        <v>44557</v>
      </c>
      <c r="I24" t="s">
        <v>288</v>
      </c>
      <c r="J24" t="s">
        <v>357</v>
      </c>
      <c r="K24" t="s">
        <v>358</v>
      </c>
    </row>
    <row r="25" spans="1:11" x14ac:dyDescent="0.35">
      <c r="A25" t="s">
        <v>109</v>
      </c>
      <c r="B25" t="s">
        <v>336</v>
      </c>
      <c r="C25" t="s">
        <v>354</v>
      </c>
      <c r="D25" t="s">
        <v>286</v>
      </c>
      <c r="E25" s="1">
        <v>33546</v>
      </c>
      <c r="F25">
        <v>7196777444</v>
      </c>
      <c r="G25" t="s">
        <v>293</v>
      </c>
      <c r="H25" s="1">
        <v>44441</v>
      </c>
      <c r="I25" t="s">
        <v>288</v>
      </c>
      <c r="J25" t="s">
        <v>359</v>
      </c>
      <c r="K25" t="s">
        <v>360</v>
      </c>
    </row>
    <row r="26" spans="1:11" x14ac:dyDescent="0.35">
      <c r="A26" t="s">
        <v>21</v>
      </c>
      <c r="B26" t="s">
        <v>361</v>
      </c>
      <c r="C26" t="s">
        <v>308</v>
      </c>
      <c r="D26" t="s">
        <v>299</v>
      </c>
      <c r="E26" s="1">
        <v>24333</v>
      </c>
      <c r="F26">
        <v>7482069727</v>
      </c>
      <c r="G26" t="s">
        <v>304</v>
      </c>
      <c r="H26" s="1">
        <v>44448</v>
      </c>
      <c r="I26" t="s">
        <v>305</v>
      </c>
      <c r="J26" t="s">
        <v>362</v>
      </c>
      <c r="K26" t="s">
        <v>363</v>
      </c>
    </row>
    <row r="27" spans="1:11" x14ac:dyDescent="0.35">
      <c r="A27" t="s">
        <v>52</v>
      </c>
      <c r="B27" t="s">
        <v>353</v>
      </c>
      <c r="C27" t="s">
        <v>325</v>
      </c>
      <c r="D27" t="s">
        <v>299</v>
      </c>
      <c r="E27" s="1">
        <v>37953</v>
      </c>
      <c r="F27">
        <v>9900972256</v>
      </c>
      <c r="G27" t="s">
        <v>304</v>
      </c>
      <c r="H27" s="1">
        <v>44329</v>
      </c>
      <c r="I27" t="s">
        <v>309</v>
      </c>
      <c r="J27" t="s">
        <v>364</v>
      </c>
      <c r="K27" t="s">
        <v>365</v>
      </c>
    </row>
    <row r="28" spans="1:11" x14ac:dyDescent="0.35">
      <c r="A28" t="s">
        <v>117</v>
      </c>
      <c r="B28" t="s">
        <v>313</v>
      </c>
      <c r="C28" t="s">
        <v>348</v>
      </c>
      <c r="D28" t="s">
        <v>286</v>
      </c>
      <c r="E28" s="1">
        <v>35975</v>
      </c>
      <c r="F28">
        <v>8724518272</v>
      </c>
      <c r="G28" t="s">
        <v>293</v>
      </c>
      <c r="H28" s="1">
        <v>44423</v>
      </c>
      <c r="I28" t="s">
        <v>305</v>
      </c>
      <c r="J28" t="s">
        <v>366</v>
      </c>
      <c r="K28" t="s">
        <v>367</v>
      </c>
    </row>
    <row r="29" spans="1:11" x14ac:dyDescent="0.35">
      <c r="A29" t="s">
        <v>63</v>
      </c>
      <c r="B29" t="s">
        <v>316</v>
      </c>
      <c r="C29" t="s">
        <v>348</v>
      </c>
      <c r="D29" t="s">
        <v>299</v>
      </c>
      <c r="E29" s="1">
        <v>34072</v>
      </c>
      <c r="F29">
        <v>7028910482</v>
      </c>
      <c r="G29" t="s">
        <v>293</v>
      </c>
      <c r="H29" s="1">
        <v>45066</v>
      </c>
      <c r="I29" t="s">
        <v>309</v>
      </c>
      <c r="J29" t="s">
        <v>368</v>
      </c>
      <c r="K29" t="s">
        <v>369</v>
      </c>
    </row>
    <row r="30" spans="1:11" x14ac:dyDescent="0.35">
      <c r="A30" t="s">
        <v>45</v>
      </c>
      <c r="B30" t="s">
        <v>284</v>
      </c>
      <c r="C30" t="s">
        <v>292</v>
      </c>
      <c r="D30" t="s">
        <v>299</v>
      </c>
      <c r="E30" s="1">
        <v>38487</v>
      </c>
      <c r="F30">
        <v>8923607677</v>
      </c>
      <c r="G30" t="s">
        <v>287</v>
      </c>
      <c r="H30" s="1">
        <v>45035</v>
      </c>
      <c r="I30" t="s">
        <v>305</v>
      </c>
      <c r="J30" t="s">
        <v>370</v>
      </c>
      <c r="K30" t="s">
        <v>371</v>
      </c>
    </row>
    <row r="31" spans="1:11" x14ac:dyDescent="0.35">
      <c r="A31" t="s">
        <v>70</v>
      </c>
      <c r="B31" t="s">
        <v>291</v>
      </c>
      <c r="C31" t="s">
        <v>348</v>
      </c>
      <c r="D31" t="s">
        <v>299</v>
      </c>
      <c r="E31" s="1">
        <v>23734</v>
      </c>
      <c r="F31">
        <v>6622318721</v>
      </c>
      <c r="G31" t="s">
        <v>320</v>
      </c>
      <c r="H31" s="1">
        <v>44415</v>
      </c>
      <c r="I31" t="s">
        <v>294</v>
      </c>
      <c r="J31" t="s">
        <v>372</v>
      </c>
      <c r="K31" t="s">
        <v>373</v>
      </c>
    </row>
    <row r="32" spans="1:11" x14ac:dyDescent="0.35">
      <c r="A32" t="s">
        <v>97</v>
      </c>
      <c r="B32" t="s">
        <v>361</v>
      </c>
      <c r="C32" t="s">
        <v>345</v>
      </c>
      <c r="D32" t="s">
        <v>299</v>
      </c>
      <c r="E32" s="1">
        <v>31791</v>
      </c>
      <c r="F32">
        <v>8280346676</v>
      </c>
      <c r="G32" t="s">
        <v>293</v>
      </c>
      <c r="H32" s="1">
        <v>44740</v>
      </c>
      <c r="I32" t="s">
        <v>288</v>
      </c>
      <c r="J32" t="s">
        <v>374</v>
      </c>
      <c r="K32" t="s">
        <v>375</v>
      </c>
    </row>
    <row r="33" spans="1:11" x14ac:dyDescent="0.35">
      <c r="A33" t="s">
        <v>13</v>
      </c>
      <c r="B33" t="s">
        <v>316</v>
      </c>
      <c r="C33" t="s">
        <v>348</v>
      </c>
      <c r="D33" t="s">
        <v>299</v>
      </c>
      <c r="E33" s="1">
        <v>29594</v>
      </c>
      <c r="F33">
        <v>8102183595</v>
      </c>
      <c r="G33" t="s">
        <v>304</v>
      </c>
      <c r="H33" s="1">
        <v>44471</v>
      </c>
      <c r="I33" t="s">
        <v>309</v>
      </c>
      <c r="J33" t="s">
        <v>376</v>
      </c>
      <c r="K33" t="s">
        <v>369</v>
      </c>
    </row>
    <row r="34" spans="1:11" x14ac:dyDescent="0.35">
      <c r="A34" t="s">
        <v>86</v>
      </c>
      <c r="B34" t="s">
        <v>302</v>
      </c>
      <c r="C34" t="s">
        <v>308</v>
      </c>
      <c r="D34" t="s">
        <v>286</v>
      </c>
      <c r="E34" s="1">
        <v>25605</v>
      </c>
      <c r="F34">
        <v>7923214041</v>
      </c>
      <c r="G34" t="s">
        <v>287</v>
      </c>
      <c r="H34" s="1">
        <v>45175</v>
      </c>
      <c r="I34" t="s">
        <v>309</v>
      </c>
      <c r="J34" t="s">
        <v>377</v>
      </c>
      <c r="K34" t="s">
        <v>352</v>
      </c>
    </row>
    <row r="35" spans="1:11" x14ac:dyDescent="0.35">
      <c r="A35" t="s">
        <v>8</v>
      </c>
      <c r="B35" t="s">
        <v>316</v>
      </c>
      <c r="C35" t="s">
        <v>292</v>
      </c>
      <c r="D35" t="s">
        <v>286</v>
      </c>
      <c r="E35" s="1">
        <v>18289</v>
      </c>
      <c r="F35">
        <v>8374657733</v>
      </c>
      <c r="G35" t="s">
        <v>293</v>
      </c>
      <c r="H35" s="1">
        <v>45095</v>
      </c>
      <c r="I35" t="s">
        <v>288</v>
      </c>
      <c r="J35" t="s">
        <v>378</v>
      </c>
      <c r="K35" t="s">
        <v>379</v>
      </c>
    </row>
    <row r="36" spans="1:11" x14ac:dyDescent="0.35">
      <c r="A36" t="s">
        <v>125</v>
      </c>
      <c r="B36" t="s">
        <v>284</v>
      </c>
      <c r="C36" t="s">
        <v>308</v>
      </c>
      <c r="D36" t="s">
        <v>286</v>
      </c>
      <c r="E36" s="1">
        <v>34072</v>
      </c>
      <c r="F36">
        <v>7039619487</v>
      </c>
      <c r="G36" t="s">
        <v>304</v>
      </c>
      <c r="H36" s="1">
        <v>45116</v>
      </c>
      <c r="I36" t="s">
        <v>309</v>
      </c>
      <c r="J36" t="s">
        <v>380</v>
      </c>
      <c r="K36" t="s">
        <v>311</v>
      </c>
    </row>
    <row r="37" spans="1:11" x14ac:dyDescent="0.35">
      <c r="A37" t="s">
        <v>84</v>
      </c>
      <c r="B37" t="s">
        <v>302</v>
      </c>
      <c r="C37" t="s">
        <v>308</v>
      </c>
      <c r="D37" t="s">
        <v>299</v>
      </c>
      <c r="E37" s="1">
        <v>35790</v>
      </c>
      <c r="F37">
        <v>8545613046</v>
      </c>
      <c r="G37" t="s">
        <v>304</v>
      </c>
      <c r="H37" s="1">
        <v>44838</v>
      </c>
      <c r="I37" t="s">
        <v>309</v>
      </c>
      <c r="J37" t="s">
        <v>381</v>
      </c>
      <c r="K37" t="s">
        <v>352</v>
      </c>
    </row>
    <row r="38" spans="1:11" x14ac:dyDescent="0.35">
      <c r="A38" t="s">
        <v>56</v>
      </c>
      <c r="B38" t="s">
        <v>361</v>
      </c>
      <c r="C38" t="s">
        <v>285</v>
      </c>
      <c r="D38" t="s">
        <v>299</v>
      </c>
      <c r="E38" s="1">
        <v>36196</v>
      </c>
      <c r="F38">
        <v>8886800195</v>
      </c>
      <c r="G38" t="s">
        <v>320</v>
      </c>
      <c r="H38" s="1">
        <v>44469</v>
      </c>
      <c r="I38" t="s">
        <v>305</v>
      </c>
      <c r="J38" t="s">
        <v>382</v>
      </c>
      <c r="K38" t="s">
        <v>383</v>
      </c>
    </row>
    <row r="39" spans="1:11" x14ac:dyDescent="0.35">
      <c r="A39" t="s">
        <v>252</v>
      </c>
      <c r="B39" t="s">
        <v>284</v>
      </c>
      <c r="C39" t="s">
        <v>292</v>
      </c>
      <c r="D39" t="s">
        <v>299</v>
      </c>
      <c r="E39" s="1">
        <v>33414</v>
      </c>
      <c r="F39">
        <v>6347262390</v>
      </c>
      <c r="G39" t="s">
        <v>287</v>
      </c>
      <c r="H39" s="1">
        <v>44305</v>
      </c>
      <c r="I39" t="s">
        <v>309</v>
      </c>
      <c r="J39" t="s">
        <v>384</v>
      </c>
      <c r="K39" t="s">
        <v>371</v>
      </c>
    </row>
    <row r="40" spans="1:11" x14ac:dyDescent="0.35">
      <c r="A40" t="s">
        <v>37</v>
      </c>
      <c r="B40" t="s">
        <v>340</v>
      </c>
      <c r="C40" t="s">
        <v>308</v>
      </c>
      <c r="D40" t="s">
        <v>286</v>
      </c>
      <c r="E40" s="1">
        <v>18609</v>
      </c>
      <c r="F40">
        <v>9271131338</v>
      </c>
      <c r="G40" t="s">
        <v>287</v>
      </c>
      <c r="H40" s="1">
        <v>44264</v>
      </c>
      <c r="I40" t="s">
        <v>294</v>
      </c>
      <c r="J40" t="s">
        <v>385</v>
      </c>
      <c r="K40" t="s">
        <v>386</v>
      </c>
    </row>
    <row r="41" spans="1:11" x14ac:dyDescent="0.35">
      <c r="A41" t="s">
        <v>24</v>
      </c>
      <c r="B41" t="s">
        <v>291</v>
      </c>
      <c r="C41" t="s">
        <v>285</v>
      </c>
      <c r="D41" t="s">
        <v>299</v>
      </c>
      <c r="E41" s="1">
        <v>26449</v>
      </c>
      <c r="F41">
        <v>7587653815</v>
      </c>
      <c r="G41" t="s">
        <v>320</v>
      </c>
      <c r="H41" s="1">
        <v>44485</v>
      </c>
      <c r="I41" t="s">
        <v>294</v>
      </c>
      <c r="J41" t="s">
        <v>387</v>
      </c>
      <c r="K41" t="s">
        <v>388</v>
      </c>
    </row>
    <row r="42" spans="1:11" x14ac:dyDescent="0.35">
      <c r="A42" t="s">
        <v>161</v>
      </c>
      <c r="B42" t="s">
        <v>361</v>
      </c>
      <c r="C42" t="s">
        <v>285</v>
      </c>
      <c r="D42" t="s">
        <v>299</v>
      </c>
      <c r="E42" s="1">
        <v>18798</v>
      </c>
      <c r="F42">
        <v>7020645498</v>
      </c>
      <c r="G42" t="s">
        <v>320</v>
      </c>
      <c r="H42" s="1">
        <v>44758</v>
      </c>
      <c r="I42" t="s">
        <v>288</v>
      </c>
      <c r="J42" t="s">
        <v>389</v>
      </c>
      <c r="K42" t="s">
        <v>383</v>
      </c>
    </row>
    <row r="43" spans="1:11" x14ac:dyDescent="0.35">
      <c r="A43" t="s">
        <v>234</v>
      </c>
      <c r="B43" t="s">
        <v>340</v>
      </c>
      <c r="C43" t="s">
        <v>292</v>
      </c>
      <c r="D43" t="s">
        <v>286</v>
      </c>
      <c r="E43" s="1">
        <v>19958</v>
      </c>
      <c r="F43">
        <v>7040069008</v>
      </c>
      <c r="G43" t="s">
        <v>287</v>
      </c>
      <c r="H43" s="1">
        <v>44635</v>
      </c>
      <c r="I43" t="s">
        <v>309</v>
      </c>
      <c r="J43" t="s">
        <v>390</v>
      </c>
      <c r="K43" t="s">
        <v>391</v>
      </c>
    </row>
    <row r="44" spans="1:11" x14ac:dyDescent="0.35">
      <c r="A44" t="s">
        <v>129</v>
      </c>
      <c r="B44" t="s">
        <v>313</v>
      </c>
      <c r="C44" t="s">
        <v>354</v>
      </c>
      <c r="D44" t="s">
        <v>299</v>
      </c>
      <c r="E44" s="1">
        <v>29305</v>
      </c>
      <c r="F44">
        <v>9127665406</v>
      </c>
      <c r="G44" t="s">
        <v>287</v>
      </c>
      <c r="H44" s="1">
        <v>44760</v>
      </c>
      <c r="I44" t="s">
        <v>288</v>
      </c>
      <c r="J44" t="s">
        <v>392</v>
      </c>
      <c r="K44" t="s">
        <v>393</v>
      </c>
    </row>
    <row r="45" spans="1:11" x14ac:dyDescent="0.35">
      <c r="A45" t="s">
        <v>139</v>
      </c>
      <c r="B45" t="s">
        <v>361</v>
      </c>
      <c r="C45" t="s">
        <v>325</v>
      </c>
      <c r="D45" t="s">
        <v>286</v>
      </c>
      <c r="E45" s="1">
        <v>27830</v>
      </c>
      <c r="F45">
        <v>9449458981</v>
      </c>
      <c r="G45" t="s">
        <v>293</v>
      </c>
      <c r="H45" s="1">
        <v>44952</v>
      </c>
      <c r="I45" t="s">
        <v>294</v>
      </c>
      <c r="J45" t="s">
        <v>394</v>
      </c>
      <c r="K45" t="s">
        <v>395</v>
      </c>
    </row>
    <row r="46" spans="1:11" x14ac:dyDescent="0.35">
      <c r="A46" t="s">
        <v>28</v>
      </c>
      <c r="B46" t="s">
        <v>313</v>
      </c>
      <c r="C46" t="s">
        <v>345</v>
      </c>
      <c r="D46" t="s">
        <v>286</v>
      </c>
      <c r="E46" s="1">
        <v>24222</v>
      </c>
      <c r="F46">
        <v>7579616535</v>
      </c>
      <c r="G46" t="s">
        <v>293</v>
      </c>
      <c r="H46" s="1">
        <v>44219</v>
      </c>
      <c r="I46" t="s">
        <v>309</v>
      </c>
      <c r="J46" t="s">
        <v>396</v>
      </c>
      <c r="K46" t="s">
        <v>397</v>
      </c>
    </row>
    <row r="47" spans="1:11" x14ac:dyDescent="0.35">
      <c r="A47" t="s">
        <v>72</v>
      </c>
      <c r="B47" t="s">
        <v>302</v>
      </c>
      <c r="C47" t="s">
        <v>325</v>
      </c>
      <c r="D47" t="s">
        <v>286</v>
      </c>
      <c r="E47" s="1">
        <v>31656</v>
      </c>
      <c r="F47">
        <v>8019925828</v>
      </c>
      <c r="G47" t="s">
        <v>320</v>
      </c>
      <c r="H47" s="1">
        <v>44408</v>
      </c>
      <c r="I47" t="s">
        <v>309</v>
      </c>
      <c r="J47" t="s">
        <v>398</v>
      </c>
      <c r="K47" t="s">
        <v>327</v>
      </c>
    </row>
    <row r="48" spans="1:11" x14ac:dyDescent="0.35">
      <c r="A48" t="s">
        <v>66</v>
      </c>
      <c r="B48" t="s">
        <v>340</v>
      </c>
      <c r="C48" t="s">
        <v>348</v>
      </c>
      <c r="D48" t="s">
        <v>299</v>
      </c>
      <c r="E48" s="1">
        <v>35046</v>
      </c>
      <c r="F48">
        <v>8715732851</v>
      </c>
      <c r="G48" t="s">
        <v>293</v>
      </c>
      <c r="H48" s="1">
        <v>44701</v>
      </c>
      <c r="I48" t="s">
        <v>288</v>
      </c>
      <c r="J48" t="s">
        <v>399</v>
      </c>
      <c r="K48" t="s">
        <v>350</v>
      </c>
    </row>
    <row r="49" spans="1:11" x14ac:dyDescent="0.35">
      <c r="A49" t="s">
        <v>17</v>
      </c>
      <c r="B49" t="s">
        <v>291</v>
      </c>
      <c r="C49" t="s">
        <v>345</v>
      </c>
      <c r="D49" t="s">
        <v>299</v>
      </c>
      <c r="E49" s="1">
        <v>30399</v>
      </c>
      <c r="F49">
        <v>8720989381</v>
      </c>
      <c r="G49" t="s">
        <v>304</v>
      </c>
      <c r="H49" s="1">
        <v>45096</v>
      </c>
      <c r="I49" t="s">
        <v>294</v>
      </c>
      <c r="J49" t="s">
        <v>400</v>
      </c>
      <c r="K49" t="s">
        <v>401</v>
      </c>
    </row>
    <row r="50" spans="1:11" x14ac:dyDescent="0.35">
      <c r="A50" t="s">
        <v>68</v>
      </c>
      <c r="B50" t="s">
        <v>284</v>
      </c>
      <c r="C50" t="s">
        <v>348</v>
      </c>
      <c r="D50" t="s">
        <v>299</v>
      </c>
      <c r="E50" s="1">
        <v>26629</v>
      </c>
      <c r="F50">
        <v>7712937941</v>
      </c>
      <c r="G50" t="s">
        <v>293</v>
      </c>
      <c r="H50" s="1">
        <v>45091</v>
      </c>
      <c r="I50" t="s">
        <v>309</v>
      </c>
      <c r="J50" t="s">
        <v>402</v>
      </c>
      <c r="K50" t="s">
        <v>403</v>
      </c>
    </row>
    <row r="51" spans="1:11" x14ac:dyDescent="0.35">
      <c r="A51" t="s">
        <v>123</v>
      </c>
      <c r="B51" t="s">
        <v>297</v>
      </c>
      <c r="C51" t="s">
        <v>308</v>
      </c>
      <c r="D51" t="s">
        <v>299</v>
      </c>
      <c r="E51" s="1">
        <v>34330</v>
      </c>
      <c r="F51">
        <v>8301134730</v>
      </c>
      <c r="G51" t="s">
        <v>293</v>
      </c>
      <c r="H51" s="1">
        <v>45044</v>
      </c>
      <c r="I51" t="s">
        <v>288</v>
      </c>
      <c r="J51" t="s">
        <v>404</v>
      </c>
      <c r="K51" t="s">
        <v>344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64A69-872A-4592-8CE3-06D6978EF17F}">
  <dimension ref="A1:G201"/>
  <sheetViews>
    <sheetView workbookViewId="0">
      <selection activeCell="G1" sqref="G1:G1048576"/>
    </sheetView>
  </sheetViews>
  <sheetFormatPr defaultRowHeight="14.5" x14ac:dyDescent="0.35"/>
  <cols>
    <col min="1" max="1" width="16.453125" bestFit="1" customWidth="1"/>
    <col min="2" max="2" width="11.54296875" bestFit="1" customWidth="1"/>
    <col min="3" max="3" width="10.90625" bestFit="1" customWidth="1"/>
    <col min="4" max="4" width="18.54296875" bestFit="1" customWidth="1"/>
    <col min="5" max="5" width="18.6328125" bestFit="1" customWidth="1"/>
    <col min="6" max="6" width="16.26953125" bestFit="1" customWidth="1"/>
    <col min="7" max="7" width="18.1796875" customWidth="1"/>
  </cols>
  <sheetData>
    <row r="1" spans="1:7" x14ac:dyDescent="0.35">
      <c r="A1" t="s">
        <v>0</v>
      </c>
      <c r="B1" t="s">
        <v>1</v>
      </c>
      <c r="C1" t="s">
        <v>2</v>
      </c>
      <c r="D1" t="s">
        <v>3</v>
      </c>
      <c r="E1" t="s">
        <v>4</v>
      </c>
      <c r="F1" t="s">
        <v>5</v>
      </c>
      <c r="G1" t="s">
        <v>6</v>
      </c>
    </row>
    <row r="2" spans="1:7" x14ac:dyDescent="0.35">
      <c r="A2" t="s">
        <v>7</v>
      </c>
      <c r="B2" t="s">
        <v>8</v>
      </c>
      <c r="C2" t="s">
        <v>9</v>
      </c>
      <c r="D2" s="1">
        <v>45147</v>
      </c>
      <c r="E2" s="2">
        <v>0.63541666666666663</v>
      </c>
      <c r="F2" t="s">
        <v>10</v>
      </c>
      <c r="G2" t="s">
        <v>11</v>
      </c>
    </row>
    <row r="3" spans="1:7" x14ac:dyDescent="0.35">
      <c r="A3" t="s">
        <v>12</v>
      </c>
      <c r="B3" t="s">
        <v>13</v>
      </c>
      <c r="C3" t="s">
        <v>14</v>
      </c>
      <c r="D3" s="1">
        <v>45086</v>
      </c>
      <c r="E3" s="2">
        <v>0.60416666666666663</v>
      </c>
      <c r="F3" t="s">
        <v>10</v>
      </c>
      <c r="G3" t="s">
        <v>15</v>
      </c>
    </row>
    <row r="4" spans="1:7" x14ac:dyDescent="0.35">
      <c r="A4" t="s">
        <v>16</v>
      </c>
      <c r="B4" t="s">
        <v>17</v>
      </c>
      <c r="C4" t="s">
        <v>14</v>
      </c>
      <c r="D4" s="1">
        <v>45105</v>
      </c>
      <c r="E4" s="2">
        <v>0.33333333333333331</v>
      </c>
      <c r="F4" t="s">
        <v>18</v>
      </c>
      <c r="G4" t="s">
        <v>19</v>
      </c>
    </row>
    <row r="5" spans="1:7" x14ac:dyDescent="0.35">
      <c r="A5" t="s">
        <v>20</v>
      </c>
      <c r="B5" t="s">
        <v>21</v>
      </c>
      <c r="C5" t="s">
        <v>22</v>
      </c>
      <c r="D5" s="1">
        <v>45170</v>
      </c>
      <c r="E5" s="2">
        <v>0.38541666666666669</v>
      </c>
      <c r="F5" t="s">
        <v>18</v>
      </c>
      <c r="G5" t="s">
        <v>19</v>
      </c>
    </row>
    <row r="6" spans="1:7" x14ac:dyDescent="0.35">
      <c r="A6" t="s">
        <v>23</v>
      </c>
      <c r="B6" t="s">
        <v>24</v>
      </c>
      <c r="C6" t="s">
        <v>25</v>
      </c>
      <c r="D6" s="1">
        <v>45113</v>
      </c>
      <c r="E6" s="2">
        <v>0.53125</v>
      </c>
      <c r="F6" t="s">
        <v>26</v>
      </c>
      <c r="G6" t="s">
        <v>15</v>
      </c>
    </row>
    <row r="7" spans="1:7" x14ac:dyDescent="0.35">
      <c r="A7" t="s">
        <v>27</v>
      </c>
      <c r="B7" t="s">
        <v>28</v>
      </c>
      <c r="C7" t="s">
        <v>22</v>
      </c>
      <c r="D7" s="1">
        <v>45096</v>
      </c>
      <c r="E7" s="2">
        <v>0.67708333333333337</v>
      </c>
      <c r="F7" t="s">
        <v>29</v>
      </c>
      <c r="G7" t="s">
        <v>11</v>
      </c>
    </row>
    <row r="8" spans="1:7" x14ac:dyDescent="0.35">
      <c r="A8" t="s">
        <v>30</v>
      </c>
      <c r="B8" t="s">
        <v>31</v>
      </c>
      <c r="C8" t="s">
        <v>32</v>
      </c>
      <c r="D8" s="1">
        <v>45025</v>
      </c>
      <c r="E8" s="2">
        <v>0.4375</v>
      </c>
      <c r="F8" t="s">
        <v>18</v>
      </c>
      <c r="G8" t="s">
        <v>11</v>
      </c>
    </row>
    <row r="9" spans="1:7" x14ac:dyDescent="0.35">
      <c r="A9" t="s">
        <v>33</v>
      </c>
      <c r="B9" t="s">
        <v>34</v>
      </c>
      <c r="C9" t="s">
        <v>35</v>
      </c>
      <c r="D9" s="1">
        <v>45070</v>
      </c>
      <c r="E9" s="2">
        <v>0.36458333333333331</v>
      </c>
      <c r="F9" t="s">
        <v>18</v>
      </c>
      <c r="G9" t="s">
        <v>19</v>
      </c>
    </row>
    <row r="10" spans="1:7" x14ac:dyDescent="0.35">
      <c r="A10" t="s">
        <v>36</v>
      </c>
      <c r="B10" t="s">
        <v>37</v>
      </c>
      <c r="C10" t="s">
        <v>35</v>
      </c>
      <c r="D10" s="1">
        <v>44990</v>
      </c>
      <c r="E10" s="2">
        <v>0.57291666666666663</v>
      </c>
      <c r="F10" t="s">
        <v>38</v>
      </c>
      <c r="G10" t="s">
        <v>11</v>
      </c>
    </row>
    <row r="11" spans="1:7" x14ac:dyDescent="0.35">
      <c r="A11" t="s">
        <v>39</v>
      </c>
      <c r="B11" t="s">
        <v>40</v>
      </c>
      <c r="C11" t="s">
        <v>25</v>
      </c>
      <c r="D11" s="1">
        <v>44939</v>
      </c>
      <c r="E11" s="2">
        <v>0.64583333333333337</v>
      </c>
      <c r="F11" t="s">
        <v>10</v>
      </c>
      <c r="G11" t="s">
        <v>41</v>
      </c>
    </row>
    <row r="12" spans="1:7" x14ac:dyDescent="0.35">
      <c r="A12" t="s">
        <v>42</v>
      </c>
      <c r="B12" t="s">
        <v>43</v>
      </c>
      <c r="C12" t="s">
        <v>32</v>
      </c>
      <c r="D12" s="1">
        <v>45242</v>
      </c>
      <c r="E12" s="2">
        <v>0.66666666666666663</v>
      </c>
      <c r="F12" t="s">
        <v>29</v>
      </c>
      <c r="G12" t="s">
        <v>15</v>
      </c>
    </row>
    <row r="13" spans="1:7" x14ac:dyDescent="0.35">
      <c r="A13" t="s">
        <v>44</v>
      </c>
      <c r="B13" t="s">
        <v>45</v>
      </c>
      <c r="C13" t="s">
        <v>25</v>
      </c>
      <c r="D13" s="1">
        <v>45053</v>
      </c>
      <c r="E13" s="2">
        <v>0.41666666666666669</v>
      </c>
      <c r="F13" t="s">
        <v>38</v>
      </c>
      <c r="G13" t="s">
        <v>41</v>
      </c>
    </row>
    <row r="14" spans="1:7" x14ac:dyDescent="0.35">
      <c r="A14" t="s">
        <v>46</v>
      </c>
      <c r="B14" t="s">
        <v>47</v>
      </c>
      <c r="C14" t="s">
        <v>48</v>
      </c>
      <c r="D14" s="1">
        <v>45154</v>
      </c>
      <c r="E14" s="2">
        <v>0.5</v>
      </c>
      <c r="F14" t="s">
        <v>26</v>
      </c>
      <c r="G14" t="s">
        <v>11</v>
      </c>
    </row>
    <row r="15" spans="1:7" x14ac:dyDescent="0.35">
      <c r="A15" t="s">
        <v>49</v>
      </c>
      <c r="B15" t="s">
        <v>50</v>
      </c>
      <c r="C15" t="s">
        <v>35</v>
      </c>
      <c r="D15" s="1">
        <v>45071</v>
      </c>
      <c r="E15" s="2">
        <v>0.4375</v>
      </c>
      <c r="F15" t="s">
        <v>26</v>
      </c>
      <c r="G15" t="s">
        <v>19</v>
      </c>
    </row>
    <row r="16" spans="1:7" x14ac:dyDescent="0.35">
      <c r="A16" t="s">
        <v>51</v>
      </c>
      <c r="B16" t="s">
        <v>52</v>
      </c>
      <c r="C16" t="s">
        <v>14</v>
      </c>
      <c r="D16" s="1">
        <v>44941</v>
      </c>
      <c r="E16" s="2">
        <v>0.71875</v>
      </c>
      <c r="F16" t="s">
        <v>18</v>
      </c>
      <c r="G16" t="s">
        <v>15</v>
      </c>
    </row>
    <row r="17" spans="1:7" x14ac:dyDescent="0.35">
      <c r="A17" t="s">
        <v>53</v>
      </c>
      <c r="B17" t="s">
        <v>34</v>
      </c>
      <c r="C17" t="s">
        <v>54</v>
      </c>
      <c r="D17" s="1">
        <v>45107</v>
      </c>
      <c r="E17" s="2">
        <v>0.45833333333333331</v>
      </c>
      <c r="F17" t="s">
        <v>18</v>
      </c>
      <c r="G17" t="s">
        <v>11</v>
      </c>
    </row>
    <row r="18" spans="1:7" x14ac:dyDescent="0.35">
      <c r="A18" t="s">
        <v>55</v>
      </c>
      <c r="B18" t="s">
        <v>56</v>
      </c>
      <c r="C18" t="s">
        <v>9</v>
      </c>
      <c r="D18" s="1">
        <v>45118</v>
      </c>
      <c r="E18" s="2">
        <v>0.70833333333333337</v>
      </c>
      <c r="F18" t="s">
        <v>26</v>
      </c>
      <c r="G18" t="s">
        <v>11</v>
      </c>
    </row>
    <row r="19" spans="1:7" x14ac:dyDescent="0.35">
      <c r="A19" t="s">
        <v>57</v>
      </c>
      <c r="B19" t="s">
        <v>43</v>
      </c>
      <c r="C19" t="s">
        <v>32</v>
      </c>
      <c r="D19" s="1">
        <v>45244</v>
      </c>
      <c r="E19" s="2">
        <v>0.40625</v>
      </c>
      <c r="F19" t="s">
        <v>18</v>
      </c>
      <c r="G19" t="s">
        <v>19</v>
      </c>
    </row>
    <row r="20" spans="1:7" x14ac:dyDescent="0.35">
      <c r="A20" t="s">
        <v>58</v>
      </c>
      <c r="B20" t="s">
        <v>45</v>
      </c>
      <c r="C20" t="s">
        <v>59</v>
      </c>
      <c r="D20" s="1">
        <v>44963</v>
      </c>
      <c r="E20" s="2">
        <v>0.64583333333333337</v>
      </c>
      <c r="F20" t="s">
        <v>29</v>
      </c>
      <c r="G20" t="s">
        <v>19</v>
      </c>
    </row>
    <row r="21" spans="1:7" x14ac:dyDescent="0.35">
      <c r="A21" t="s">
        <v>60</v>
      </c>
      <c r="B21" t="s">
        <v>61</v>
      </c>
      <c r="C21" t="s">
        <v>25</v>
      </c>
      <c r="D21" s="1">
        <v>45265</v>
      </c>
      <c r="E21" s="2">
        <v>0.63541666666666663</v>
      </c>
      <c r="F21" t="s">
        <v>18</v>
      </c>
      <c r="G21" t="s">
        <v>41</v>
      </c>
    </row>
    <row r="22" spans="1:7" x14ac:dyDescent="0.35">
      <c r="A22" t="s">
        <v>62</v>
      </c>
      <c r="B22" t="s">
        <v>63</v>
      </c>
      <c r="C22" t="s">
        <v>9</v>
      </c>
      <c r="D22" s="1">
        <v>45040</v>
      </c>
      <c r="E22" s="2">
        <v>0.41666666666666669</v>
      </c>
      <c r="F22" t="s">
        <v>10</v>
      </c>
      <c r="G22" t="s">
        <v>15</v>
      </c>
    </row>
    <row r="23" spans="1:7" x14ac:dyDescent="0.35">
      <c r="A23" t="s">
        <v>64</v>
      </c>
      <c r="B23" t="s">
        <v>40</v>
      </c>
      <c r="C23" t="s">
        <v>59</v>
      </c>
      <c r="D23" s="1">
        <v>45244</v>
      </c>
      <c r="E23" s="2">
        <v>0.54166666666666663</v>
      </c>
      <c r="F23" t="s">
        <v>18</v>
      </c>
      <c r="G23" t="s">
        <v>15</v>
      </c>
    </row>
    <row r="24" spans="1:7" x14ac:dyDescent="0.35">
      <c r="A24" t="s">
        <v>65</v>
      </c>
      <c r="B24" t="s">
        <v>66</v>
      </c>
      <c r="C24" t="s">
        <v>9</v>
      </c>
      <c r="D24" s="1">
        <v>45055</v>
      </c>
      <c r="E24" s="2">
        <v>0.60416666666666663</v>
      </c>
      <c r="F24" t="s">
        <v>38</v>
      </c>
      <c r="G24" t="s">
        <v>19</v>
      </c>
    </row>
    <row r="25" spans="1:7" x14ac:dyDescent="0.35">
      <c r="A25" t="s">
        <v>67</v>
      </c>
      <c r="B25" t="s">
        <v>68</v>
      </c>
      <c r="C25" t="s">
        <v>54</v>
      </c>
      <c r="D25" s="1">
        <v>45098</v>
      </c>
      <c r="E25" s="2">
        <v>0.33333333333333331</v>
      </c>
      <c r="F25" t="s">
        <v>29</v>
      </c>
      <c r="G25" t="s">
        <v>41</v>
      </c>
    </row>
    <row r="26" spans="1:7" x14ac:dyDescent="0.35">
      <c r="A26" t="s">
        <v>69</v>
      </c>
      <c r="B26" t="s">
        <v>70</v>
      </c>
      <c r="C26" t="s">
        <v>59</v>
      </c>
      <c r="D26" s="1">
        <v>44982</v>
      </c>
      <c r="E26" s="2">
        <v>0.33333333333333331</v>
      </c>
      <c r="F26" t="s">
        <v>38</v>
      </c>
      <c r="G26" t="s">
        <v>15</v>
      </c>
    </row>
    <row r="27" spans="1:7" x14ac:dyDescent="0.35">
      <c r="A27" t="s">
        <v>71</v>
      </c>
      <c r="B27" t="s">
        <v>72</v>
      </c>
      <c r="C27" t="s">
        <v>22</v>
      </c>
      <c r="D27" s="1">
        <v>45002</v>
      </c>
      <c r="E27" s="2">
        <v>0.59375</v>
      </c>
      <c r="F27" t="s">
        <v>38</v>
      </c>
      <c r="G27" t="s">
        <v>19</v>
      </c>
    </row>
    <row r="28" spans="1:7" x14ac:dyDescent="0.35">
      <c r="A28" t="s">
        <v>73</v>
      </c>
      <c r="B28" t="s">
        <v>40</v>
      </c>
      <c r="C28" t="s">
        <v>74</v>
      </c>
      <c r="D28" s="1">
        <v>45244</v>
      </c>
      <c r="E28" s="2">
        <v>0.53125</v>
      </c>
      <c r="F28" t="s">
        <v>10</v>
      </c>
      <c r="G28" t="s">
        <v>11</v>
      </c>
    </row>
    <row r="29" spans="1:7" x14ac:dyDescent="0.35">
      <c r="A29" t="s">
        <v>75</v>
      </c>
      <c r="B29" t="s">
        <v>50</v>
      </c>
      <c r="C29" t="s">
        <v>22</v>
      </c>
      <c r="D29" s="1">
        <v>45228</v>
      </c>
      <c r="E29" s="2">
        <v>0.64583333333333337</v>
      </c>
      <c r="F29" t="s">
        <v>29</v>
      </c>
      <c r="G29" t="s">
        <v>15</v>
      </c>
    </row>
    <row r="30" spans="1:7" x14ac:dyDescent="0.35">
      <c r="A30" t="s">
        <v>76</v>
      </c>
      <c r="B30" t="s">
        <v>34</v>
      </c>
      <c r="C30" t="s">
        <v>35</v>
      </c>
      <c r="D30" s="1">
        <v>45102</v>
      </c>
      <c r="E30" s="2">
        <v>0.60416666666666663</v>
      </c>
      <c r="F30" t="s">
        <v>29</v>
      </c>
      <c r="G30" t="s">
        <v>41</v>
      </c>
    </row>
    <row r="31" spans="1:7" x14ac:dyDescent="0.35">
      <c r="A31" t="s">
        <v>77</v>
      </c>
      <c r="B31" t="s">
        <v>52</v>
      </c>
      <c r="C31" t="s">
        <v>74</v>
      </c>
      <c r="D31" s="1">
        <v>45167</v>
      </c>
      <c r="E31" s="2">
        <v>0.55208333333333337</v>
      </c>
      <c r="F31" t="s">
        <v>29</v>
      </c>
      <c r="G31" t="s">
        <v>41</v>
      </c>
    </row>
    <row r="32" spans="1:7" x14ac:dyDescent="0.35">
      <c r="A32" t="s">
        <v>78</v>
      </c>
      <c r="B32" t="s">
        <v>52</v>
      </c>
      <c r="C32" t="s">
        <v>22</v>
      </c>
      <c r="D32" s="1">
        <v>45020</v>
      </c>
      <c r="E32" s="2">
        <v>0.4375</v>
      </c>
      <c r="F32" t="s">
        <v>29</v>
      </c>
      <c r="G32" t="s">
        <v>41</v>
      </c>
    </row>
    <row r="33" spans="1:7" x14ac:dyDescent="0.35">
      <c r="A33" t="s">
        <v>79</v>
      </c>
      <c r="B33" t="s">
        <v>17</v>
      </c>
      <c r="C33" t="s">
        <v>74</v>
      </c>
      <c r="D33" s="1">
        <v>45236</v>
      </c>
      <c r="E33" s="2">
        <v>0.44791666666666669</v>
      </c>
      <c r="F33" t="s">
        <v>29</v>
      </c>
      <c r="G33" t="s">
        <v>11</v>
      </c>
    </row>
    <row r="34" spans="1:7" x14ac:dyDescent="0.35">
      <c r="A34" t="s">
        <v>80</v>
      </c>
      <c r="B34" t="s">
        <v>81</v>
      </c>
      <c r="C34" t="s">
        <v>74</v>
      </c>
      <c r="D34" s="1">
        <v>45192</v>
      </c>
      <c r="E34" s="2">
        <v>0.73958333333333337</v>
      </c>
      <c r="F34" t="s">
        <v>10</v>
      </c>
      <c r="G34" t="s">
        <v>15</v>
      </c>
    </row>
    <row r="35" spans="1:7" x14ac:dyDescent="0.35">
      <c r="A35" t="s">
        <v>82</v>
      </c>
      <c r="B35" t="s">
        <v>37</v>
      </c>
      <c r="C35" t="s">
        <v>14</v>
      </c>
      <c r="D35" s="1">
        <v>45090</v>
      </c>
      <c r="E35" s="2">
        <v>0.47916666666666669</v>
      </c>
      <c r="F35" t="s">
        <v>18</v>
      </c>
      <c r="G35" t="s">
        <v>15</v>
      </c>
    </row>
    <row r="36" spans="1:7" x14ac:dyDescent="0.35">
      <c r="A36" t="s">
        <v>83</v>
      </c>
      <c r="B36" t="s">
        <v>84</v>
      </c>
      <c r="C36" t="s">
        <v>25</v>
      </c>
      <c r="D36" s="1">
        <v>45034</v>
      </c>
      <c r="E36" s="2">
        <v>0.36458333333333331</v>
      </c>
      <c r="F36" t="s">
        <v>38</v>
      </c>
      <c r="G36" t="s">
        <v>11</v>
      </c>
    </row>
    <row r="37" spans="1:7" x14ac:dyDescent="0.35">
      <c r="A37" t="s">
        <v>85</v>
      </c>
      <c r="B37" t="s">
        <v>86</v>
      </c>
      <c r="C37" t="s">
        <v>25</v>
      </c>
      <c r="D37" s="1">
        <v>44934</v>
      </c>
      <c r="E37" s="2">
        <v>0.60416666666666663</v>
      </c>
      <c r="F37" t="s">
        <v>29</v>
      </c>
      <c r="G37" t="s">
        <v>15</v>
      </c>
    </row>
    <row r="38" spans="1:7" x14ac:dyDescent="0.35">
      <c r="A38" t="s">
        <v>87</v>
      </c>
      <c r="B38" t="s">
        <v>70</v>
      </c>
      <c r="C38" t="s">
        <v>14</v>
      </c>
      <c r="D38" s="1">
        <v>45013</v>
      </c>
      <c r="E38" s="2">
        <v>0.45833333333333331</v>
      </c>
      <c r="F38" t="s">
        <v>18</v>
      </c>
      <c r="G38" t="s">
        <v>11</v>
      </c>
    </row>
    <row r="39" spans="1:7" x14ac:dyDescent="0.35">
      <c r="A39" t="s">
        <v>88</v>
      </c>
      <c r="B39" t="s">
        <v>56</v>
      </c>
      <c r="C39" t="s">
        <v>9</v>
      </c>
      <c r="D39" s="1">
        <v>44980</v>
      </c>
      <c r="E39" s="2">
        <v>0.54166666666666663</v>
      </c>
      <c r="F39" t="s">
        <v>18</v>
      </c>
      <c r="G39" t="s">
        <v>11</v>
      </c>
    </row>
    <row r="40" spans="1:7" x14ac:dyDescent="0.35">
      <c r="A40" t="s">
        <v>89</v>
      </c>
      <c r="B40" t="s">
        <v>90</v>
      </c>
      <c r="C40" t="s">
        <v>48</v>
      </c>
      <c r="D40" s="1">
        <v>45033</v>
      </c>
      <c r="E40" s="2">
        <v>0.33333333333333331</v>
      </c>
      <c r="F40" t="s">
        <v>38</v>
      </c>
      <c r="G40" t="s">
        <v>11</v>
      </c>
    </row>
    <row r="41" spans="1:7" x14ac:dyDescent="0.35">
      <c r="A41" t="s">
        <v>91</v>
      </c>
      <c r="B41" t="s">
        <v>92</v>
      </c>
      <c r="C41" t="s">
        <v>9</v>
      </c>
      <c r="D41" s="1">
        <v>45012</v>
      </c>
      <c r="E41" s="2">
        <v>0.52083333333333337</v>
      </c>
      <c r="F41" t="s">
        <v>10</v>
      </c>
      <c r="G41" t="s">
        <v>41</v>
      </c>
    </row>
    <row r="42" spans="1:7" x14ac:dyDescent="0.35">
      <c r="A42" t="s">
        <v>93</v>
      </c>
      <c r="B42" t="s">
        <v>40</v>
      </c>
      <c r="C42" t="s">
        <v>59</v>
      </c>
      <c r="D42" s="1">
        <v>44927</v>
      </c>
      <c r="E42" s="2">
        <v>0.58333333333333337</v>
      </c>
      <c r="F42" t="s">
        <v>26</v>
      </c>
      <c r="G42" t="s">
        <v>15</v>
      </c>
    </row>
    <row r="43" spans="1:7" x14ac:dyDescent="0.35">
      <c r="A43" t="s">
        <v>94</v>
      </c>
      <c r="B43" t="s">
        <v>84</v>
      </c>
      <c r="C43" t="s">
        <v>59</v>
      </c>
      <c r="D43" s="1">
        <v>45006</v>
      </c>
      <c r="E43" s="2">
        <v>0.46875</v>
      </c>
      <c r="F43" t="s">
        <v>26</v>
      </c>
      <c r="G43" t="s">
        <v>11</v>
      </c>
    </row>
    <row r="44" spans="1:7" x14ac:dyDescent="0.35">
      <c r="A44" t="s">
        <v>95</v>
      </c>
      <c r="B44" t="s">
        <v>8</v>
      </c>
      <c r="C44" t="s">
        <v>74</v>
      </c>
      <c r="D44" s="1">
        <v>45014</v>
      </c>
      <c r="E44" s="2">
        <v>0.38541666666666669</v>
      </c>
      <c r="F44" t="s">
        <v>18</v>
      </c>
      <c r="G44" t="s">
        <v>15</v>
      </c>
    </row>
    <row r="45" spans="1:7" x14ac:dyDescent="0.35">
      <c r="A45" t="s">
        <v>96</v>
      </c>
      <c r="B45" t="s">
        <v>97</v>
      </c>
      <c r="C45" t="s">
        <v>22</v>
      </c>
      <c r="D45" s="1">
        <v>45189</v>
      </c>
      <c r="E45" s="2">
        <v>0.52083333333333337</v>
      </c>
      <c r="F45" t="s">
        <v>38</v>
      </c>
      <c r="G45" t="s">
        <v>41</v>
      </c>
    </row>
    <row r="46" spans="1:7" x14ac:dyDescent="0.35">
      <c r="A46" t="s">
        <v>98</v>
      </c>
      <c r="B46" t="s">
        <v>92</v>
      </c>
      <c r="C46" t="s">
        <v>22</v>
      </c>
      <c r="D46" s="1">
        <v>45197</v>
      </c>
      <c r="E46" s="2">
        <v>0.70833333333333337</v>
      </c>
      <c r="F46" t="s">
        <v>26</v>
      </c>
      <c r="G46" t="s">
        <v>11</v>
      </c>
    </row>
    <row r="47" spans="1:7" x14ac:dyDescent="0.35">
      <c r="A47" t="s">
        <v>99</v>
      </c>
      <c r="B47" t="s">
        <v>100</v>
      </c>
      <c r="C47" t="s">
        <v>25</v>
      </c>
      <c r="D47" s="1">
        <v>45280</v>
      </c>
      <c r="E47" s="2">
        <v>0.55208333333333337</v>
      </c>
      <c r="F47" t="s">
        <v>18</v>
      </c>
      <c r="G47" t="s">
        <v>19</v>
      </c>
    </row>
    <row r="48" spans="1:7" x14ac:dyDescent="0.35">
      <c r="A48" t="s">
        <v>101</v>
      </c>
      <c r="B48" t="s">
        <v>13</v>
      </c>
      <c r="C48" t="s">
        <v>32</v>
      </c>
      <c r="D48" s="1">
        <v>45048</v>
      </c>
      <c r="E48" s="2">
        <v>0.45833333333333331</v>
      </c>
      <c r="F48" t="s">
        <v>10</v>
      </c>
      <c r="G48" t="s">
        <v>41</v>
      </c>
    </row>
    <row r="49" spans="1:7" x14ac:dyDescent="0.35">
      <c r="A49" t="s">
        <v>102</v>
      </c>
      <c r="B49" t="s">
        <v>31</v>
      </c>
      <c r="C49" t="s">
        <v>9</v>
      </c>
      <c r="D49" s="1">
        <v>44942</v>
      </c>
      <c r="E49" s="2">
        <v>0.65625</v>
      </c>
      <c r="F49" t="s">
        <v>26</v>
      </c>
      <c r="G49" t="s">
        <v>19</v>
      </c>
    </row>
    <row r="50" spans="1:7" x14ac:dyDescent="0.35">
      <c r="A50" t="s">
        <v>103</v>
      </c>
      <c r="B50" t="s">
        <v>40</v>
      </c>
      <c r="C50" t="s">
        <v>35</v>
      </c>
      <c r="D50" s="1">
        <v>45046</v>
      </c>
      <c r="E50" s="2">
        <v>0.64583333333333337</v>
      </c>
      <c r="F50" t="s">
        <v>18</v>
      </c>
      <c r="G50" t="s">
        <v>15</v>
      </c>
    </row>
    <row r="51" spans="1:7" x14ac:dyDescent="0.35">
      <c r="A51" t="s">
        <v>104</v>
      </c>
      <c r="B51" t="s">
        <v>28</v>
      </c>
      <c r="C51" t="s">
        <v>54</v>
      </c>
      <c r="D51" s="1">
        <v>45154</v>
      </c>
      <c r="E51" s="2">
        <v>0.625</v>
      </c>
      <c r="F51" t="s">
        <v>18</v>
      </c>
      <c r="G51" t="s">
        <v>15</v>
      </c>
    </row>
    <row r="52" spans="1:7" x14ac:dyDescent="0.35">
      <c r="A52" t="s">
        <v>105</v>
      </c>
      <c r="B52" t="s">
        <v>106</v>
      </c>
      <c r="C52" t="s">
        <v>22</v>
      </c>
      <c r="D52" s="1">
        <v>44961</v>
      </c>
      <c r="E52" s="2">
        <v>0.48958333333333331</v>
      </c>
      <c r="F52" t="s">
        <v>29</v>
      </c>
      <c r="G52" t="s">
        <v>41</v>
      </c>
    </row>
    <row r="53" spans="1:7" x14ac:dyDescent="0.35">
      <c r="A53" t="s">
        <v>107</v>
      </c>
      <c r="B53" t="s">
        <v>34</v>
      </c>
      <c r="C53" t="s">
        <v>54</v>
      </c>
      <c r="D53" s="1">
        <v>45119</v>
      </c>
      <c r="E53" s="2">
        <v>0.39583333333333331</v>
      </c>
      <c r="F53" t="s">
        <v>10</v>
      </c>
      <c r="G53" t="s">
        <v>15</v>
      </c>
    </row>
    <row r="54" spans="1:7" x14ac:dyDescent="0.35">
      <c r="A54" t="s">
        <v>108</v>
      </c>
      <c r="B54" t="s">
        <v>109</v>
      </c>
      <c r="C54" t="s">
        <v>74</v>
      </c>
      <c r="D54" s="1">
        <v>44969</v>
      </c>
      <c r="E54" s="2">
        <v>0.4375</v>
      </c>
      <c r="F54" t="s">
        <v>29</v>
      </c>
      <c r="G54" t="s">
        <v>19</v>
      </c>
    </row>
    <row r="55" spans="1:7" x14ac:dyDescent="0.35">
      <c r="A55" t="s">
        <v>110</v>
      </c>
      <c r="B55" t="s">
        <v>34</v>
      </c>
      <c r="C55" t="s">
        <v>54</v>
      </c>
      <c r="D55" s="1">
        <v>45276</v>
      </c>
      <c r="E55" s="2">
        <v>0.48958333333333331</v>
      </c>
      <c r="F55" t="s">
        <v>38</v>
      </c>
      <c r="G55" t="s">
        <v>11</v>
      </c>
    </row>
    <row r="56" spans="1:7" x14ac:dyDescent="0.35">
      <c r="A56" t="s">
        <v>111</v>
      </c>
      <c r="B56" t="s">
        <v>112</v>
      </c>
      <c r="C56" t="s">
        <v>35</v>
      </c>
      <c r="D56" s="1">
        <v>45205</v>
      </c>
      <c r="E56" s="2">
        <v>0.72916666666666663</v>
      </c>
      <c r="F56" t="s">
        <v>29</v>
      </c>
      <c r="G56" t="s">
        <v>11</v>
      </c>
    </row>
    <row r="57" spans="1:7" x14ac:dyDescent="0.35">
      <c r="A57" t="s">
        <v>113</v>
      </c>
      <c r="B57" t="s">
        <v>68</v>
      </c>
      <c r="C57" t="s">
        <v>14</v>
      </c>
      <c r="D57" s="1">
        <v>44928</v>
      </c>
      <c r="E57" s="2">
        <v>0.53125</v>
      </c>
      <c r="F57" t="s">
        <v>29</v>
      </c>
      <c r="G57" t="s">
        <v>11</v>
      </c>
    </row>
    <row r="58" spans="1:7" x14ac:dyDescent="0.35">
      <c r="A58" t="s">
        <v>114</v>
      </c>
      <c r="B58" t="s">
        <v>63</v>
      </c>
      <c r="C58" t="s">
        <v>35</v>
      </c>
      <c r="D58" s="1">
        <v>45031</v>
      </c>
      <c r="E58" s="2">
        <v>0.73958333333333337</v>
      </c>
      <c r="F58" t="s">
        <v>26</v>
      </c>
      <c r="G58" t="s">
        <v>41</v>
      </c>
    </row>
    <row r="59" spans="1:7" x14ac:dyDescent="0.35">
      <c r="A59" t="s">
        <v>115</v>
      </c>
      <c r="B59" t="s">
        <v>13</v>
      </c>
      <c r="C59" t="s">
        <v>54</v>
      </c>
      <c r="D59" s="1">
        <v>45055</v>
      </c>
      <c r="E59" s="2">
        <v>0.55208333333333337</v>
      </c>
      <c r="F59" t="s">
        <v>18</v>
      </c>
      <c r="G59" t="s">
        <v>15</v>
      </c>
    </row>
    <row r="60" spans="1:7" x14ac:dyDescent="0.35">
      <c r="A60" t="s">
        <v>116</v>
      </c>
      <c r="B60" t="s">
        <v>117</v>
      </c>
      <c r="C60" t="s">
        <v>35</v>
      </c>
      <c r="D60" s="1">
        <v>44994</v>
      </c>
      <c r="E60" s="2">
        <v>0.64583333333333337</v>
      </c>
      <c r="F60" t="s">
        <v>10</v>
      </c>
      <c r="G60" t="s">
        <v>19</v>
      </c>
    </row>
    <row r="61" spans="1:7" x14ac:dyDescent="0.35">
      <c r="A61" t="s">
        <v>118</v>
      </c>
      <c r="B61" t="s">
        <v>119</v>
      </c>
      <c r="C61" t="s">
        <v>48</v>
      </c>
      <c r="D61" s="1">
        <v>45252</v>
      </c>
      <c r="E61" s="2">
        <v>0.71875</v>
      </c>
      <c r="F61" t="s">
        <v>29</v>
      </c>
      <c r="G61" t="s">
        <v>15</v>
      </c>
    </row>
    <row r="62" spans="1:7" x14ac:dyDescent="0.35">
      <c r="A62" t="s">
        <v>120</v>
      </c>
      <c r="B62" t="s">
        <v>109</v>
      </c>
      <c r="C62" t="s">
        <v>74</v>
      </c>
      <c r="D62" s="1">
        <v>44941</v>
      </c>
      <c r="E62" s="2">
        <v>0.70833333333333337</v>
      </c>
      <c r="F62" t="s">
        <v>10</v>
      </c>
      <c r="G62" t="s">
        <v>15</v>
      </c>
    </row>
    <row r="63" spans="1:7" x14ac:dyDescent="0.35">
      <c r="A63" t="s">
        <v>121</v>
      </c>
      <c r="B63" t="s">
        <v>50</v>
      </c>
      <c r="C63" t="s">
        <v>9</v>
      </c>
      <c r="D63" s="1">
        <v>45091</v>
      </c>
      <c r="E63" s="2">
        <v>0.63541666666666663</v>
      </c>
      <c r="F63" t="s">
        <v>29</v>
      </c>
      <c r="G63" t="s">
        <v>15</v>
      </c>
    </row>
    <row r="64" spans="1:7" x14ac:dyDescent="0.35">
      <c r="A64" t="s">
        <v>122</v>
      </c>
      <c r="B64" t="s">
        <v>123</v>
      </c>
      <c r="C64" t="s">
        <v>14</v>
      </c>
      <c r="D64" s="1">
        <v>45106</v>
      </c>
      <c r="E64" s="2">
        <v>0.375</v>
      </c>
      <c r="F64" t="s">
        <v>38</v>
      </c>
      <c r="G64" t="s">
        <v>11</v>
      </c>
    </row>
    <row r="65" spans="1:7" x14ac:dyDescent="0.35">
      <c r="A65" t="s">
        <v>124</v>
      </c>
      <c r="B65" t="s">
        <v>125</v>
      </c>
      <c r="C65" t="s">
        <v>22</v>
      </c>
      <c r="D65" s="1">
        <v>45077</v>
      </c>
      <c r="E65" s="2">
        <v>0.35416666666666669</v>
      </c>
      <c r="F65" t="s">
        <v>29</v>
      </c>
      <c r="G65" t="s">
        <v>19</v>
      </c>
    </row>
    <row r="66" spans="1:7" x14ac:dyDescent="0.35">
      <c r="A66" t="s">
        <v>126</v>
      </c>
      <c r="B66" t="s">
        <v>86</v>
      </c>
      <c r="C66" t="s">
        <v>59</v>
      </c>
      <c r="D66" s="1">
        <v>45040</v>
      </c>
      <c r="E66" s="2">
        <v>0.65625</v>
      </c>
      <c r="F66" t="s">
        <v>26</v>
      </c>
      <c r="G66" t="s">
        <v>19</v>
      </c>
    </row>
    <row r="67" spans="1:7" x14ac:dyDescent="0.35">
      <c r="A67" t="s">
        <v>127</v>
      </c>
      <c r="B67" t="s">
        <v>86</v>
      </c>
      <c r="C67" t="s">
        <v>9</v>
      </c>
      <c r="D67" s="1">
        <v>45056</v>
      </c>
      <c r="E67" s="2">
        <v>0.48958333333333331</v>
      </c>
      <c r="F67" t="s">
        <v>18</v>
      </c>
      <c r="G67" t="s">
        <v>15</v>
      </c>
    </row>
    <row r="68" spans="1:7" x14ac:dyDescent="0.35">
      <c r="A68" t="s">
        <v>128</v>
      </c>
      <c r="B68" t="s">
        <v>129</v>
      </c>
      <c r="C68" t="s">
        <v>59</v>
      </c>
      <c r="D68" s="1">
        <v>45148</v>
      </c>
      <c r="E68" s="2">
        <v>0.45833333333333331</v>
      </c>
      <c r="F68" t="s">
        <v>38</v>
      </c>
      <c r="G68" t="s">
        <v>11</v>
      </c>
    </row>
    <row r="69" spans="1:7" x14ac:dyDescent="0.35">
      <c r="A69" t="s">
        <v>130</v>
      </c>
      <c r="B69" t="s">
        <v>56</v>
      </c>
      <c r="C69" t="s">
        <v>74</v>
      </c>
      <c r="D69" s="1">
        <v>44999</v>
      </c>
      <c r="E69" s="2">
        <v>0.625</v>
      </c>
      <c r="F69" t="s">
        <v>29</v>
      </c>
      <c r="G69" t="s">
        <v>11</v>
      </c>
    </row>
    <row r="70" spans="1:7" x14ac:dyDescent="0.35">
      <c r="A70" t="s">
        <v>131</v>
      </c>
      <c r="B70" t="s">
        <v>50</v>
      </c>
      <c r="C70" t="s">
        <v>14</v>
      </c>
      <c r="D70" s="1">
        <v>45014</v>
      </c>
      <c r="E70" s="2">
        <v>0.64583333333333337</v>
      </c>
      <c r="F70" t="s">
        <v>10</v>
      </c>
      <c r="G70" t="s">
        <v>19</v>
      </c>
    </row>
    <row r="71" spans="1:7" x14ac:dyDescent="0.35">
      <c r="A71" t="s">
        <v>132</v>
      </c>
      <c r="B71" t="s">
        <v>47</v>
      </c>
      <c r="C71" t="s">
        <v>25</v>
      </c>
      <c r="D71" s="1">
        <v>45164</v>
      </c>
      <c r="E71" s="2">
        <v>0.70833333333333337</v>
      </c>
      <c r="F71" t="s">
        <v>38</v>
      </c>
      <c r="G71" t="s">
        <v>11</v>
      </c>
    </row>
    <row r="72" spans="1:7" x14ac:dyDescent="0.35">
      <c r="A72" t="s">
        <v>133</v>
      </c>
      <c r="B72" t="s">
        <v>31</v>
      </c>
      <c r="C72" t="s">
        <v>22</v>
      </c>
      <c r="D72" s="1">
        <v>44952</v>
      </c>
      <c r="E72" s="2">
        <v>0.70833333333333337</v>
      </c>
      <c r="F72" t="s">
        <v>38</v>
      </c>
      <c r="G72" t="s">
        <v>11</v>
      </c>
    </row>
    <row r="73" spans="1:7" x14ac:dyDescent="0.35">
      <c r="A73" t="s">
        <v>134</v>
      </c>
      <c r="B73" t="s">
        <v>86</v>
      </c>
      <c r="C73" t="s">
        <v>48</v>
      </c>
      <c r="D73" s="1">
        <v>45089</v>
      </c>
      <c r="E73" s="2">
        <v>0.5625</v>
      </c>
      <c r="F73" t="s">
        <v>29</v>
      </c>
      <c r="G73" t="s">
        <v>11</v>
      </c>
    </row>
    <row r="74" spans="1:7" x14ac:dyDescent="0.35">
      <c r="A74" t="s">
        <v>135</v>
      </c>
      <c r="B74" t="s">
        <v>24</v>
      </c>
      <c r="C74" t="s">
        <v>25</v>
      </c>
      <c r="D74" s="1">
        <v>45284</v>
      </c>
      <c r="E74" s="2">
        <v>0.625</v>
      </c>
      <c r="F74" t="s">
        <v>38</v>
      </c>
      <c r="G74" t="s">
        <v>41</v>
      </c>
    </row>
    <row r="75" spans="1:7" x14ac:dyDescent="0.35">
      <c r="A75" t="s">
        <v>136</v>
      </c>
      <c r="B75" t="s">
        <v>92</v>
      </c>
      <c r="C75" t="s">
        <v>74</v>
      </c>
      <c r="D75" s="1">
        <v>45130</v>
      </c>
      <c r="E75" s="2">
        <v>0.5625</v>
      </c>
      <c r="F75" t="s">
        <v>10</v>
      </c>
      <c r="G75" t="s">
        <v>15</v>
      </c>
    </row>
    <row r="76" spans="1:7" x14ac:dyDescent="0.35">
      <c r="A76" t="s">
        <v>137</v>
      </c>
      <c r="B76" t="s">
        <v>129</v>
      </c>
      <c r="C76" t="s">
        <v>9</v>
      </c>
      <c r="D76" s="1">
        <v>45054</v>
      </c>
      <c r="E76" s="2">
        <v>0.58333333333333337</v>
      </c>
      <c r="F76" t="s">
        <v>38</v>
      </c>
      <c r="G76" t="s">
        <v>19</v>
      </c>
    </row>
    <row r="77" spans="1:7" x14ac:dyDescent="0.35">
      <c r="A77" t="s">
        <v>138</v>
      </c>
      <c r="B77" t="s">
        <v>139</v>
      </c>
      <c r="C77" t="s">
        <v>48</v>
      </c>
      <c r="D77" s="1">
        <v>45257</v>
      </c>
      <c r="E77" s="2">
        <v>0.5</v>
      </c>
      <c r="F77" t="s">
        <v>10</v>
      </c>
      <c r="G77" t="s">
        <v>19</v>
      </c>
    </row>
    <row r="78" spans="1:7" x14ac:dyDescent="0.35">
      <c r="A78" t="s">
        <v>140</v>
      </c>
      <c r="B78" t="s">
        <v>45</v>
      </c>
      <c r="C78" t="s">
        <v>35</v>
      </c>
      <c r="D78" s="1">
        <v>45274</v>
      </c>
      <c r="E78" s="2">
        <v>0.71875</v>
      </c>
      <c r="F78" t="s">
        <v>29</v>
      </c>
      <c r="G78" t="s">
        <v>41</v>
      </c>
    </row>
    <row r="79" spans="1:7" x14ac:dyDescent="0.35">
      <c r="A79" t="s">
        <v>141</v>
      </c>
      <c r="B79" t="s">
        <v>142</v>
      </c>
      <c r="C79" t="s">
        <v>54</v>
      </c>
      <c r="D79" s="1">
        <v>45186</v>
      </c>
      <c r="E79" s="2">
        <v>0.46875</v>
      </c>
      <c r="F79" t="s">
        <v>18</v>
      </c>
      <c r="G79" t="s">
        <v>15</v>
      </c>
    </row>
    <row r="80" spans="1:7" x14ac:dyDescent="0.35">
      <c r="A80" t="s">
        <v>143</v>
      </c>
      <c r="B80" t="s">
        <v>50</v>
      </c>
      <c r="C80" t="s">
        <v>48</v>
      </c>
      <c r="D80" s="1">
        <v>45286</v>
      </c>
      <c r="E80" s="2">
        <v>0.58333333333333337</v>
      </c>
      <c r="F80" t="s">
        <v>38</v>
      </c>
      <c r="G80" t="s">
        <v>19</v>
      </c>
    </row>
    <row r="81" spans="1:7" x14ac:dyDescent="0.35">
      <c r="A81" t="s">
        <v>144</v>
      </c>
      <c r="B81" t="s">
        <v>97</v>
      </c>
      <c r="C81" t="s">
        <v>74</v>
      </c>
      <c r="D81" s="1">
        <v>45103</v>
      </c>
      <c r="E81" s="2">
        <v>0.35416666666666669</v>
      </c>
      <c r="F81" t="s">
        <v>18</v>
      </c>
      <c r="G81" t="s">
        <v>11</v>
      </c>
    </row>
    <row r="82" spans="1:7" x14ac:dyDescent="0.35">
      <c r="A82" t="s">
        <v>145</v>
      </c>
      <c r="B82" t="s">
        <v>72</v>
      </c>
      <c r="C82" t="s">
        <v>32</v>
      </c>
      <c r="D82" s="1">
        <v>44932</v>
      </c>
      <c r="E82" s="2">
        <v>0.5625</v>
      </c>
      <c r="F82" t="s">
        <v>10</v>
      </c>
      <c r="G82" t="s">
        <v>19</v>
      </c>
    </row>
    <row r="83" spans="1:7" x14ac:dyDescent="0.35">
      <c r="A83" t="s">
        <v>146</v>
      </c>
      <c r="B83" t="s">
        <v>112</v>
      </c>
      <c r="C83" t="s">
        <v>54</v>
      </c>
      <c r="D83" s="1">
        <v>44946</v>
      </c>
      <c r="E83" s="2">
        <v>0.44791666666666669</v>
      </c>
      <c r="F83" t="s">
        <v>38</v>
      </c>
      <c r="G83" t="s">
        <v>11</v>
      </c>
    </row>
    <row r="84" spans="1:7" x14ac:dyDescent="0.35">
      <c r="A84" t="s">
        <v>147</v>
      </c>
      <c r="B84" t="s">
        <v>123</v>
      </c>
      <c r="C84" t="s">
        <v>59</v>
      </c>
      <c r="D84" s="1">
        <v>45237</v>
      </c>
      <c r="E84" s="2">
        <v>0.52083333333333337</v>
      </c>
      <c r="F84" t="s">
        <v>26</v>
      </c>
      <c r="G84" t="s">
        <v>41</v>
      </c>
    </row>
    <row r="85" spans="1:7" x14ac:dyDescent="0.35">
      <c r="A85" t="s">
        <v>148</v>
      </c>
      <c r="B85" t="s">
        <v>125</v>
      </c>
      <c r="C85" t="s">
        <v>22</v>
      </c>
      <c r="D85" s="1">
        <v>45077</v>
      </c>
      <c r="E85" s="2">
        <v>0.66666666666666663</v>
      </c>
      <c r="F85" t="s">
        <v>18</v>
      </c>
      <c r="G85" t="s">
        <v>11</v>
      </c>
    </row>
    <row r="86" spans="1:7" x14ac:dyDescent="0.35">
      <c r="A86" t="s">
        <v>149</v>
      </c>
      <c r="B86" t="s">
        <v>90</v>
      </c>
      <c r="C86" t="s">
        <v>59</v>
      </c>
      <c r="D86" s="1">
        <v>44975</v>
      </c>
      <c r="E86" s="2">
        <v>0.67708333333333337</v>
      </c>
      <c r="F86" t="s">
        <v>38</v>
      </c>
      <c r="G86" t="s">
        <v>19</v>
      </c>
    </row>
    <row r="87" spans="1:7" x14ac:dyDescent="0.35">
      <c r="A87" t="s">
        <v>150</v>
      </c>
      <c r="B87" t="s">
        <v>151</v>
      </c>
      <c r="C87" t="s">
        <v>48</v>
      </c>
      <c r="D87" s="1">
        <v>45228</v>
      </c>
      <c r="E87" s="2">
        <v>0.45833333333333331</v>
      </c>
      <c r="F87" t="s">
        <v>18</v>
      </c>
      <c r="G87" t="s">
        <v>19</v>
      </c>
    </row>
    <row r="88" spans="1:7" x14ac:dyDescent="0.35">
      <c r="A88" t="s">
        <v>152</v>
      </c>
      <c r="B88" t="s">
        <v>52</v>
      </c>
      <c r="C88" t="s">
        <v>59</v>
      </c>
      <c r="D88" s="1">
        <v>45218</v>
      </c>
      <c r="E88" s="2">
        <v>0.51041666666666663</v>
      </c>
      <c r="F88" t="s">
        <v>38</v>
      </c>
      <c r="G88" t="s">
        <v>19</v>
      </c>
    </row>
    <row r="89" spans="1:7" x14ac:dyDescent="0.35">
      <c r="A89" t="s">
        <v>153</v>
      </c>
      <c r="B89" t="s">
        <v>154</v>
      </c>
      <c r="C89" t="s">
        <v>74</v>
      </c>
      <c r="D89" s="1">
        <v>45048</v>
      </c>
      <c r="E89" s="2">
        <v>0.6875</v>
      </c>
      <c r="F89" t="s">
        <v>29</v>
      </c>
      <c r="G89" t="s">
        <v>41</v>
      </c>
    </row>
    <row r="90" spans="1:7" x14ac:dyDescent="0.35">
      <c r="A90" t="s">
        <v>155</v>
      </c>
      <c r="B90" t="s">
        <v>45</v>
      </c>
      <c r="C90" t="s">
        <v>35</v>
      </c>
      <c r="D90" s="1">
        <v>44971</v>
      </c>
      <c r="E90" s="2">
        <v>0.45833333333333331</v>
      </c>
      <c r="F90" t="s">
        <v>18</v>
      </c>
      <c r="G90" t="s">
        <v>41</v>
      </c>
    </row>
    <row r="91" spans="1:7" x14ac:dyDescent="0.35">
      <c r="A91" t="s">
        <v>156</v>
      </c>
      <c r="B91" t="s">
        <v>52</v>
      </c>
      <c r="C91" t="s">
        <v>9</v>
      </c>
      <c r="D91" s="1">
        <v>45078</v>
      </c>
      <c r="E91" s="2">
        <v>0.72916666666666663</v>
      </c>
      <c r="F91" t="s">
        <v>26</v>
      </c>
      <c r="G91" t="s">
        <v>15</v>
      </c>
    </row>
    <row r="92" spans="1:7" x14ac:dyDescent="0.35">
      <c r="A92" t="s">
        <v>157</v>
      </c>
      <c r="B92" t="s">
        <v>92</v>
      </c>
      <c r="C92" t="s">
        <v>22</v>
      </c>
      <c r="D92" s="1">
        <v>45088</v>
      </c>
      <c r="E92" s="2">
        <v>0.55208333333333337</v>
      </c>
      <c r="F92" t="s">
        <v>26</v>
      </c>
      <c r="G92" t="s">
        <v>19</v>
      </c>
    </row>
    <row r="93" spans="1:7" x14ac:dyDescent="0.35">
      <c r="A93" t="s">
        <v>158</v>
      </c>
      <c r="B93" t="s">
        <v>52</v>
      </c>
      <c r="C93" t="s">
        <v>59</v>
      </c>
      <c r="D93" s="1">
        <v>44956</v>
      </c>
      <c r="E93" s="2">
        <v>0.59375</v>
      </c>
      <c r="F93" t="s">
        <v>10</v>
      </c>
      <c r="G93" t="s">
        <v>11</v>
      </c>
    </row>
    <row r="94" spans="1:7" x14ac:dyDescent="0.35">
      <c r="A94" t="s">
        <v>159</v>
      </c>
      <c r="B94" t="s">
        <v>8</v>
      </c>
      <c r="C94" t="s">
        <v>59</v>
      </c>
      <c r="D94" s="1">
        <v>45025</v>
      </c>
      <c r="E94" s="2">
        <v>0.39583333333333331</v>
      </c>
      <c r="F94" t="s">
        <v>38</v>
      </c>
      <c r="G94" t="s">
        <v>41</v>
      </c>
    </row>
    <row r="95" spans="1:7" x14ac:dyDescent="0.35">
      <c r="A95" t="s">
        <v>160</v>
      </c>
      <c r="B95" t="s">
        <v>161</v>
      </c>
      <c r="C95" t="s">
        <v>48</v>
      </c>
      <c r="D95" s="1">
        <v>45024</v>
      </c>
      <c r="E95" s="2">
        <v>0.36458333333333331</v>
      </c>
      <c r="F95" t="s">
        <v>18</v>
      </c>
      <c r="G95" t="s">
        <v>19</v>
      </c>
    </row>
    <row r="96" spans="1:7" x14ac:dyDescent="0.35">
      <c r="A96" t="s">
        <v>162</v>
      </c>
      <c r="B96" t="s">
        <v>163</v>
      </c>
      <c r="C96" t="s">
        <v>9</v>
      </c>
      <c r="D96" s="1">
        <v>45055</v>
      </c>
      <c r="E96" s="2">
        <v>0.42708333333333331</v>
      </c>
      <c r="F96" t="s">
        <v>10</v>
      </c>
      <c r="G96" t="s">
        <v>19</v>
      </c>
    </row>
    <row r="97" spans="1:7" x14ac:dyDescent="0.35">
      <c r="A97" t="s">
        <v>164</v>
      </c>
      <c r="B97" t="s">
        <v>106</v>
      </c>
      <c r="C97" t="s">
        <v>25</v>
      </c>
      <c r="D97" s="1">
        <v>45114</v>
      </c>
      <c r="E97" s="2">
        <v>0.625</v>
      </c>
      <c r="F97" t="s">
        <v>18</v>
      </c>
      <c r="G97" t="s">
        <v>41</v>
      </c>
    </row>
    <row r="98" spans="1:7" x14ac:dyDescent="0.35">
      <c r="A98" t="s">
        <v>165</v>
      </c>
      <c r="B98" t="s">
        <v>123</v>
      </c>
      <c r="C98" t="s">
        <v>59</v>
      </c>
      <c r="D98" s="1">
        <v>45052</v>
      </c>
      <c r="E98" s="2">
        <v>0.61458333333333337</v>
      </c>
      <c r="F98" t="s">
        <v>38</v>
      </c>
      <c r="G98" t="s">
        <v>15</v>
      </c>
    </row>
    <row r="99" spans="1:7" x14ac:dyDescent="0.35">
      <c r="A99" t="s">
        <v>166</v>
      </c>
      <c r="B99" t="s">
        <v>28</v>
      </c>
      <c r="C99" t="s">
        <v>74</v>
      </c>
      <c r="D99" s="1">
        <v>45002</v>
      </c>
      <c r="E99" s="2">
        <v>0.54166666666666663</v>
      </c>
      <c r="F99" t="s">
        <v>26</v>
      </c>
      <c r="G99" t="s">
        <v>41</v>
      </c>
    </row>
    <row r="100" spans="1:7" x14ac:dyDescent="0.35">
      <c r="A100" t="s">
        <v>167</v>
      </c>
      <c r="B100" t="s">
        <v>168</v>
      </c>
      <c r="C100" t="s">
        <v>32</v>
      </c>
      <c r="D100" s="1">
        <v>45111</v>
      </c>
      <c r="E100" s="2">
        <v>0.625</v>
      </c>
      <c r="F100" t="s">
        <v>29</v>
      </c>
      <c r="G100" t="s">
        <v>41</v>
      </c>
    </row>
    <row r="101" spans="1:7" x14ac:dyDescent="0.35">
      <c r="A101" t="s">
        <v>169</v>
      </c>
      <c r="B101" t="s">
        <v>45</v>
      </c>
      <c r="C101" t="s">
        <v>22</v>
      </c>
      <c r="D101" s="1">
        <v>44987</v>
      </c>
      <c r="E101" s="2">
        <v>0.33333333333333331</v>
      </c>
      <c r="F101" t="s">
        <v>26</v>
      </c>
      <c r="G101" t="s">
        <v>11</v>
      </c>
    </row>
    <row r="102" spans="1:7" x14ac:dyDescent="0.35">
      <c r="A102" t="s">
        <v>170</v>
      </c>
      <c r="B102" t="s">
        <v>84</v>
      </c>
      <c r="C102" t="s">
        <v>59</v>
      </c>
      <c r="D102" s="1">
        <v>45190</v>
      </c>
      <c r="E102" s="2">
        <v>0.55208333333333337</v>
      </c>
      <c r="F102" t="s">
        <v>10</v>
      </c>
      <c r="G102" t="s">
        <v>11</v>
      </c>
    </row>
    <row r="103" spans="1:7" x14ac:dyDescent="0.35">
      <c r="A103" t="s">
        <v>171</v>
      </c>
      <c r="B103" t="s">
        <v>21</v>
      </c>
      <c r="C103" t="s">
        <v>74</v>
      </c>
      <c r="D103" s="1">
        <v>45224</v>
      </c>
      <c r="E103" s="2">
        <v>0.375</v>
      </c>
      <c r="F103" t="s">
        <v>29</v>
      </c>
      <c r="G103" t="s">
        <v>15</v>
      </c>
    </row>
    <row r="104" spans="1:7" x14ac:dyDescent="0.35">
      <c r="A104" t="s">
        <v>172</v>
      </c>
      <c r="B104" t="s">
        <v>81</v>
      </c>
      <c r="C104" t="s">
        <v>74</v>
      </c>
      <c r="D104" s="1">
        <v>44950</v>
      </c>
      <c r="E104" s="2">
        <v>0.35416666666666669</v>
      </c>
      <c r="F104" t="s">
        <v>10</v>
      </c>
      <c r="G104" t="s">
        <v>19</v>
      </c>
    </row>
    <row r="105" spans="1:7" x14ac:dyDescent="0.35">
      <c r="A105" t="s">
        <v>173</v>
      </c>
      <c r="B105" t="s">
        <v>84</v>
      </c>
      <c r="C105" t="s">
        <v>22</v>
      </c>
      <c r="D105" s="1">
        <v>45034</v>
      </c>
      <c r="E105" s="2">
        <v>0.36458333333333331</v>
      </c>
      <c r="F105" t="s">
        <v>38</v>
      </c>
      <c r="G105" t="s">
        <v>41</v>
      </c>
    </row>
    <row r="106" spans="1:7" x14ac:dyDescent="0.35">
      <c r="A106" t="s">
        <v>174</v>
      </c>
      <c r="B106" t="s">
        <v>92</v>
      </c>
      <c r="C106" t="s">
        <v>25</v>
      </c>
      <c r="D106" s="1">
        <v>45152</v>
      </c>
      <c r="E106" s="2">
        <v>0.66666666666666663</v>
      </c>
      <c r="F106" t="s">
        <v>29</v>
      </c>
      <c r="G106" t="s">
        <v>15</v>
      </c>
    </row>
    <row r="107" spans="1:7" x14ac:dyDescent="0.35">
      <c r="A107" t="s">
        <v>175</v>
      </c>
      <c r="B107" t="s">
        <v>56</v>
      </c>
      <c r="C107" t="s">
        <v>74</v>
      </c>
      <c r="D107" s="1">
        <v>45228</v>
      </c>
      <c r="E107" s="2">
        <v>0.46875</v>
      </c>
      <c r="F107" t="s">
        <v>10</v>
      </c>
      <c r="G107" t="s">
        <v>11</v>
      </c>
    </row>
    <row r="108" spans="1:7" x14ac:dyDescent="0.35">
      <c r="A108" t="s">
        <v>176</v>
      </c>
      <c r="B108" t="s">
        <v>177</v>
      </c>
      <c r="C108" t="s">
        <v>32</v>
      </c>
      <c r="D108" s="1">
        <v>45033</v>
      </c>
      <c r="E108" s="2">
        <v>0.57291666666666663</v>
      </c>
      <c r="F108" t="s">
        <v>38</v>
      </c>
      <c r="G108" t="s">
        <v>41</v>
      </c>
    </row>
    <row r="109" spans="1:7" x14ac:dyDescent="0.35">
      <c r="A109" t="s">
        <v>178</v>
      </c>
      <c r="B109" t="s">
        <v>109</v>
      </c>
      <c r="C109" t="s">
        <v>74</v>
      </c>
      <c r="D109" s="1">
        <v>45037</v>
      </c>
      <c r="E109" s="2">
        <v>0.625</v>
      </c>
      <c r="F109" t="s">
        <v>26</v>
      </c>
      <c r="G109" t="s">
        <v>19</v>
      </c>
    </row>
    <row r="110" spans="1:7" x14ac:dyDescent="0.35">
      <c r="A110" t="s">
        <v>179</v>
      </c>
      <c r="B110" t="s">
        <v>125</v>
      </c>
      <c r="C110" t="s">
        <v>74</v>
      </c>
      <c r="D110" s="1">
        <v>45136</v>
      </c>
      <c r="E110" s="2">
        <v>0.58333333333333337</v>
      </c>
      <c r="F110" t="s">
        <v>38</v>
      </c>
      <c r="G110" t="s">
        <v>11</v>
      </c>
    </row>
    <row r="111" spans="1:7" x14ac:dyDescent="0.35">
      <c r="A111" t="s">
        <v>180</v>
      </c>
      <c r="B111" t="s">
        <v>68</v>
      </c>
      <c r="C111" t="s">
        <v>74</v>
      </c>
      <c r="D111" s="1">
        <v>45126</v>
      </c>
      <c r="E111" s="2">
        <v>0.60416666666666663</v>
      </c>
      <c r="F111" t="s">
        <v>18</v>
      </c>
      <c r="G111" t="s">
        <v>11</v>
      </c>
    </row>
    <row r="112" spans="1:7" x14ac:dyDescent="0.35">
      <c r="A112" t="s">
        <v>181</v>
      </c>
      <c r="B112" t="s">
        <v>125</v>
      </c>
      <c r="C112" t="s">
        <v>35</v>
      </c>
      <c r="D112" s="1">
        <v>45068</v>
      </c>
      <c r="E112" s="2">
        <v>0.64583333333333337</v>
      </c>
      <c r="F112" t="s">
        <v>38</v>
      </c>
      <c r="G112" t="s">
        <v>11</v>
      </c>
    </row>
    <row r="113" spans="1:7" x14ac:dyDescent="0.35">
      <c r="A113" t="s">
        <v>182</v>
      </c>
      <c r="B113" t="s">
        <v>17</v>
      </c>
      <c r="C113" t="s">
        <v>35</v>
      </c>
      <c r="D113" s="1">
        <v>44937</v>
      </c>
      <c r="E113" s="2">
        <v>0.33333333333333331</v>
      </c>
      <c r="F113" t="s">
        <v>38</v>
      </c>
      <c r="G113" t="s">
        <v>15</v>
      </c>
    </row>
    <row r="114" spans="1:7" x14ac:dyDescent="0.35">
      <c r="A114" t="s">
        <v>183</v>
      </c>
      <c r="B114" t="s">
        <v>84</v>
      </c>
      <c r="C114" t="s">
        <v>25</v>
      </c>
      <c r="D114" s="1">
        <v>45254</v>
      </c>
      <c r="E114" s="2">
        <v>0.64583333333333337</v>
      </c>
      <c r="F114" t="s">
        <v>18</v>
      </c>
      <c r="G114" t="s">
        <v>19</v>
      </c>
    </row>
    <row r="115" spans="1:7" x14ac:dyDescent="0.35">
      <c r="A115" t="s">
        <v>184</v>
      </c>
      <c r="B115" t="s">
        <v>185</v>
      </c>
      <c r="C115" t="s">
        <v>59</v>
      </c>
      <c r="D115" s="1">
        <v>45146</v>
      </c>
      <c r="E115" s="2">
        <v>0.375</v>
      </c>
      <c r="F115" t="s">
        <v>10</v>
      </c>
      <c r="G115" t="s">
        <v>41</v>
      </c>
    </row>
    <row r="116" spans="1:7" x14ac:dyDescent="0.35">
      <c r="A116" t="s">
        <v>186</v>
      </c>
      <c r="B116" t="s">
        <v>68</v>
      </c>
      <c r="C116" t="s">
        <v>74</v>
      </c>
      <c r="D116" s="1">
        <v>45224</v>
      </c>
      <c r="E116" s="2">
        <v>0.4375</v>
      </c>
      <c r="F116" t="s">
        <v>10</v>
      </c>
      <c r="G116" t="s">
        <v>15</v>
      </c>
    </row>
    <row r="117" spans="1:7" x14ac:dyDescent="0.35">
      <c r="A117" t="s">
        <v>187</v>
      </c>
      <c r="B117" t="s">
        <v>37</v>
      </c>
      <c r="C117" t="s">
        <v>9</v>
      </c>
      <c r="D117" s="1">
        <v>45114</v>
      </c>
      <c r="E117" s="2">
        <v>0.38541666666666669</v>
      </c>
      <c r="F117" t="s">
        <v>38</v>
      </c>
      <c r="G117" t="s">
        <v>15</v>
      </c>
    </row>
    <row r="118" spans="1:7" x14ac:dyDescent="0.35">
      <c r="A118" t="s">
        <v>188</v>
      </c>
      <c r="B118" t="s">
        <v>13</v>
      </c>
      <c r="C118" t="s">
        <v>59</v>
      </c>
      <c r="D118" s="1">
        <v>45097</v>
      </c>
      <c r="E118" s="2">
        <v>0.57291666666666663</v>
      </c>
      <c r="F118" t="s">
        <v>18</v>
      </c>
      <c r="G118" t="s">
        <v>15</v>
      </c>
    </row>
    <row r="119" spans="1:7" x14ac:dyDescent="0.35">
      <c r="A119" t="s">
        <v>189</v>
      </c>
      <c r="B119" t="s">
        <v>109</v>
      </c>
      <c r="C119" t="s">
        <v>25</v>
      </c>
      <c r="D119" s="1">
        <v>45147</v>
      </c>
      <c r="E119" s="2">
        <v>0.34375</v>
      </c>
      <c r="F119" t="s">
        <v>18</v>
      </c>
      <c r="G119" t="s">
        <v>11</v>
      </c>
    </row>
    <row r="120" spans="1:7" x14ac:dyDescent="0.35">
      <c r="A120" t="s">
        <v>190</v>
      </c>
      <c r="B120" t="s">
        <v>90</v>
      </c>
      <c r="C120" t="s">
        <v>14</v>
      </c>
      <c r="D120" s="1">
        <v>45278</v>
      </c>
      <c r="E120" s="2">
        <v>0.5625</v>
      </c>
      <c r="F120" t="s">
        <v>26</v>
      </c>
      <c r="G120" t="s">
        <v>19</v>
      </c>
    </row>
    <row r="121" spans="1:7" x14ac:dyDescent="0.35">
      <c r="A121" t="s">
        <v>191</v>
      </c>
      <c r="B121" t="s">
        <v>13</v>
      </c>
      <c r="C121" t="s">
        <v>59</v>
      </c>
      <c r="D121" s="1">
        <v>45268</v>
      </c>
      <c r="E121" s="2">
        <v>0.45833333333333331</v>
      </c>
      <c r="F121" t="s">
        <v>10</v>
      </c>
      <c r="G121" t="s">
        <v>15</v>
      </c>
    </row>
    <row r="122" spans="1:7" x14ac:dyDescent="0.35">
      <c r="A122" t="s">
        <v>192</v>
      </c>
      <c r="B122" t="s">
        <v>56</v>
      </c>
      <c r="C122" t="s">
        <v>59</v>
      </c>
      <c r="D122" s="1">
        <v>45023</v>
      </c>
      <c r="E122" s="2">
        <v>0.625</v>
      </c>
      <c r="F122" t="s">
        <v>29</v>
      </c>
      <c r="G122" t="s">
        <v>41</v>
      </c>
    </row>
    <row r="123" spans="1:7" x14ac:dyDescent="0.35">
      <c r="A123" t="s">
        <v>193</v>
      </c>
      <c r="B123" t="s">
        <v>50</v>
      </c>
      <c r="C123" t="s">
        <v>54</v>
      </c>
      <c r="D123" s="1">
        <v>45118</v>
      </c>
      <c r="E123" s="2">
        <v>0.60416666666666663</v>
      </c>
      <c r="F123" t="s">
        <v>10</v>
      </c>
      <c r="G123" t="s">
        <v>19</v>
      </c>
    </row>
    <row r="124" spans="1:7" x14ac:dyDescent="0.35">
      <c r="A124" t="s">
        <v>194</v>
      </c>
      <c r="B124" t="s">
        <v>68</v>
      </c>
      <c r="C124" t="s">
        <v>48</v>
      </c>
      <c r="D124" s="1">
        <v>44985</v>
      </c>
      <c r="E124" s="2">
        <v>0.44791666666666669</v>
      </c>
      <c r="F124" t="s">
        <v>10</v>
      </c>
      <c r="G124" t="s">
        <v>41</v>
      </c>
    </row>
    <row r="125" spans="1:7" x14ac:dyDescent="0.35">
      <c r="A125" t="s">
        <v>195</v>
      </c>
      <c r="B125" t="s">
        <v>142</v>
      </c>
      <c r="C125" t="s">
        <v>54</v>
      </c>
      <c r="D125" s="1">
        <v>45001</v>
      </c>
      <c r="E125" s="2">
        <v>0.71875</v>
      </c>
      <c r="F125" t="s">
        <v>26</v>
      </c>
      <c r="G125" t="s">
        <v>19</v>
      </c>
    </row>
    <row r="126" spans="1:7" x14ac:dyDescent="0.35">
      <c r="A126" t="s">
        <v>196</v>
      </c>
      <c r="B126" t="s">
        <v>90</v>
      </c>
      <c r="C126" t="s">
        <v>32</v>
      </c>
      <c r="D126" s="1">
        <v>44975</v>
      </c>
      <c r="E126" s="2">
        <v>0.42708333333333331</v>
      </c>
      <c r="F126" t="s">
        <v>29</v>
      </c>
      <c r="G126" t="s">
        <v>41</v>
      </c>
    </row>
    <row r="127" spans="1:7" x14ac:dyDescent="0.35">
      <c r="A127" t="s">
        <v>197</v>
      </c>
      <c r="B127" t="s">
        <v>21</v>
      </c>
      <c r="C127" t="s">
        <v>35</v>
      </c>
      <c r="D127" s="1">
        <v>45232</v>
      </c>
      <c r="E127" s="2">
        <v>0.40625</v>
      </c>
      <c r="F127" t="s">
        <v>26</v>
      </c>
      <c r="G127" t="s">
        <v>11</v>
      </c>
    </row>
    <row r="128" spans="1:7" x14ac:dyDescent="0.35">
      <c r="A128" t="s">
        <v>198</v>
      </c>
      <c r="B128" t="s">
        <v>125</v>
      </c>
      <c r="C128" t="s">
        <v>35</v>
      </c>
      <c r="D128" s="1">
        <v>45243</v>
      </c>
      <c r="E128" s="2">
        <v>0.35416666666666669</v>
      </c>
      <c r="F128" t="s">
        <v>29</v>
      </c>
      <c r="G128" t="s">
        <v>15</v>
      </c>
    </row>
    <row r="129" spans="1:7" x14ac:dyDescent="0.35">
      <c r="A129" t="s">
        <v>199</v>
      </c>
      <c r="B129" t="s">
        <v>161</v>
      </c>
      <c r="C129" t="s">
        <v>48</v>
      </c>
      <c r="D129" s="1">
        <v>45031</v>
      </c>
      <c r="E129" s="2">
        <v>0.61458333333333337</v>
      </c>
      <c r="F129" t="s">
        <v>38</v>
      </c>
      <c r="G129" t="s">
        <v>41</v>
      </c>
    </row>
    <row r="130" spans="1:7" x14ac:dyDescent="0.35">
      <c r="A130" t="s">
        <v>200</v>
      </c>
      <c r="B130" t="s">
        <v>70</v>
      </c>
      <c r="C130" t="s">
        <v>22</v>
      </c>
      <c r="D130" s="1">
        <v>45163</v>
      </c>
      <c r="E130" s="2">
        <v>0.39583333333333331</v>
      </c>
      <c r="F130" t="s">
        <v>29</v>
      </c>
      <c r="G130" t="s">
        <v>19</v>
      </c>
    </row>
    <row r="131" spans="1:7" x14ac:dyDescent="0.35">
      <c r="A131" t="s">
        <v>201</v>
      </c>
      <c r="B131" t="s">
        <v>151</v>
      </c>
      <c r="C131" t="s">
        <v>22</v>
      </c>
      <c r="D131" s="1">
        <v>44980</v>
      </c>
      <c r="E131" s="2">
        <v>0.625</v>
      </c>
      <c r="F131" t="s">
        <v>26</v>
      </c>
      <c r="G131" t="s">
        <v>15</v>
      </c>
    </row>
    <row r="132" spans="1:7" x14ac:dyDescent="0.35">
      <c r="A132" t="s">
        <v>202</v>
      </c>
      <c r="B132" t="s">
        <v>68</v>
      </c>
      <c r="C132" t="s">
        <v>25</v>
      </c>
      <c r="D132" s="1">
        <v>45057</v>
      </c>
      <c r="E132" s="2">
        <v>0.6875</v>
      </c>
      <c r="F132" t="s">
        <v>10</v>
      </c>
      <c r="G132" t="s">
        <v>15</v>
      </c>
    </row>
    <row r="133" spans="1:7" x14ac:dyDescent="0.35">
      <c r="A133" t="s">
        <v>203</v>
      </c>
      <c r="B133" t="s">
        <v>119</v>
      </c>
      <c r="C133" t="s">
        <v>48</v>
      </c>
      <c r="D133" s="1">
        <v>45133</v>
      </c>
      <c r="E133" s="2">
        <v>0.44791666666666669</v>
      </c>
      <c r="F133" t="s">
        <v>29</v>
      </c>
      <c r="G133" t="s">
        <v>19</v>
      </c>
    </row>
    <row r="134" spans="1:7" x14ac:dyDescent="0.35">
      <c r="A134" t="s">
        <v>204</v>
      </c>
      <c r="B134" t="s">
        <v>17</v>
      </c>
      <c r="C134" t="s">
        <v>59</v>
      </c>
      <c r="D134" s="1">
        <v>45008</v>
      </c>
      <c r="E134" s="2">
        <v>0.60416666666666663</v>
      </c>
      <c r="F134" t="s">
        <v>29</v>
      </c>
      <c r="G134" t="s">
        <v>41</v>
      </c>
    </row>
    <row r="135" spans="1:7" x14ac:dyDescent="0.35">
      <c r="A135" t="s">
        <v>205</v>
      </c>
      <c r="B135" t="s">
        <v>21</v>
      </c>
      <c r="C135" t="s">
        <v>22</v>
      </c>
      <c r="D135" s="1">
        <v>45216</v>
      </c>
      <c r="E135" s="2">
        <v>0.63541666666666663</v>
      </c>
      <c r="F135" t="s">
        <v>18</v>
      </c>
      <c r="G135" t="s">
        <v>11</v>
      </c>
    </row>
    <row r="136" spans="1:7" x14ac:dyDescent="0.35">
      <c r="A136" t="s">
        <v>206</v>
      </c>
      <c r="B136" t="s">
        <v>43</v>
      </c>
      <c r="C136" t="s">
        <v>74</v>
      </c>
      <c r="D136" s="1">
        <v>45178</v>
      </c>
      <c r="E136" s="2">
        <v>0.6875</v>
      </c>
      <c r="F136" t="s">
        <v>10</v>
      </c>
      <c r="G136" t="s">
        <v>11</v>
      </c>
    </row>
    <row r="137" spans="1:7" x14ac:dyDescent="0.35">
      <c r="A137" t="s">
        <v>207</v>
      </c>
      <c r="B137" t="s">
        <v>142</v>
      </c>
      <c r="C137" t="s">
        <v>9</v>
      </c>
      <c r="D137" s="1">
        <v>45059</v>
      </c>
      <c r="E137" s="2">
        <v>0.52083333333333337</v>
      </c>
      <c r="F137" t="s">
        <v>38</v>
      </c>
      <c r="G137" t="s">
        <v>41</v>
      </c>
    </row>
    <row r="138" spans="1:7" x14ac:dyDescent="0.35">
      <c r="A138" t="s">
        <v>208</v>
      </c>
      <c r="B138" t="s">
        <v>100</v>
      </c>
      <c r="C138" t="s">
        <v>59</v>
      </c>
      <c r="D138" s="1">
        <v>45224</v>
      </c>
      <c r="E138" s="2">
        <v>0.41666666666666669</v>
      </c>
      <c r="F138" t="s">
        <v>26</v>
      </c>
      <c r="G138" t="s">
        <v>15</v>
      </c>
    </row>
    <row r="139" spans="1:7" x14ac:dyDescent="0.35">
      <c r="A139" t="s">
        <v>209</v>
      </c>
      <c r="B139" t="s">
        <v>68</v>
      </c>
      <c r="C139" t="s">
        <v>32</v>
      </c>
      <c r="D139" s="1">
        <v>45286</v>
      </c>
      <c r="E139" s="2">
        <v>0.63541666666666663</v>
      </c>
      <c r="F139" t="s">
        <v>38</v>
      </c>
      <c r="G139" t="s">
        <v>15</v>
      </c>
    </row>
    <row r="140" spans="1:7" x14ac:dyDescent="0.35">
      <c r="A140" t="s">
        <v>210</v>
      </c>
      <c r="B140" t="s">
        <v>84</v>
      </c>
      <c r="C140" t="s">
        <v>74</v>
      </c>
      <c r="D140" s="1">
        <v>45209</v>
      </c>
      <c r="E140" s="2">
        <v>0.44791666666666669</v>
      </c>
      <c r="F140" t="s">
        <v>10</v>
      </c>
      <c r="G140" t="s">
        <v>15</v>
      </c>
    </row>
    <row r="141" spans="1:7" x14ac:dyDescent="0.35">
      <c r="A141" t="s">
        <v>211</v>
      </c>
      <c r="B141" t="s">
        <v>50</v>
      </c>
      <c r="C141" t="s">
        <v>74</v>
      </c>
      <c r="D141" s="1">
        <v>44962</v>
      </c>
      <c r="E141" s="2">
        <v>0.63541666666666663</v>
      </c>
      <c r="F141" t="s">
        <v>29</v>
      </c>
      <c r="G141" t="s">
        <v>15</v>
      </c>
    </row>
    <row r="142" spans="1:7" x14ac:dyDescent="0.35">
      <c r="A142" t="s">
        <v>212</v>
      </c>
      <c r="B142" t="s">
        <v>161</v>
      </c>
      <c r="C142" t="s">
        <v>48</v>
      </c>
      <c r="D142" s="1">
        <v>45092</v>
      </c>
      <c r="E142" s="2">
        <v>0.63541666666666663</v>
      </c>
      <c r="F142" t="s">
        <v>29</v>
      </c>
      <c r="G142" t="s">
        <v>41</v>
      </c>
    </row>
    <row r="143" spans="1:7" x14ac:dyDescent="0.35">
      <c r="A143" t="s">
        <v>213</v>
      </c>
      <c r="B143" t="s">
        <v>100</v>
      </c>
      <c r="C143" t="s">
        <v>25</v>
      </c>
      <c r="D143" s="1">
        <v>45231</v>
      </c>
      <c r="E143" s="2">
        <v>0.48958333333333331</v>
      </c>
      <c r="F143" t="s">
        <v>10</v>
      </c>
      <c r="G143" t="s">
        <v>15</v>
      </c>
    </row>
    <row r="144" spans="1:7" x14ac:dyDescent="0.35">
      <c r="A144" t="s">
        <v>214</v>
      </c>
      <c r="B144" t="s">
        <v>50</v>
      </c>
      <c r="C144" t="s">
        <v>32</v>
      </c>
      <c r="D144" s="1">
        <v>45190</v>
      </c>
      <c r="E144" s="2">
        <v>0.51041666666666663</v>
      </c>
      <c r="F144" t="s">
        <v>29</v>
      </c>
      <c r="G144" t="s">
        <v>19</v>
      </c>
    </row>
    <row r="145" spans="1:7" x14ac:dyDescent="0.35">
      <c r="A145" t="s">
        <v>215</v>
      </c>
      <c r="B145" t="s">
        <v>177</v>
      </c>
      <c r="C145" t="s">
        <v>22</v>
      </c>
      <c r="D145" s="1">
        <v>45154</v>
      </c>
      <c r="E145" s="2">
        <v>0.51041666666666663</v>
      </c>
      <c r="F145" t="s">
        <v>29</v>
      </c>
      <c r="G145" t="s">
        <v>15</v>
      </c>
    </row>
    <row r="146" spans="1:7" x14ac:dyDescent="0.35">
      <c r="A146" t="s">
        <v>216</v>
      </c>
      <c r="B146" t="s">
        <v>163</v>
      </c>
      <c r="C146" t="s">
        <v>48</v>
      </c>
      <c r="D146" s="1">
        <v>45241</v>
      </c>
      <c r="E146" s="2">
        <v>0.61458333333333337</v>
      </c>
      <c r="F146" t="s">
        <v>29</v>
      </c>
      <c r="G146" t="s">
        <v>11</v>
      </c>
    </row>
    <row r="147" spans="1:7" x14ac:dyDescent="0.35">
      <c r="A147" t="s">
        <v>217</v>
      </c>
      <c r="B147" t="s">
        <v>63</v>
      </c>
      <c r="C147" t="s">
        <v>22</v>
      </c>
      <c r="D147" s="1">
        <v>44931</v>
      </c>
      <c r="E147" s="2">
        <v>0.39583333333333331</v>
      </c>
      <c r="F147" t="s">
        <v>26</v>
      </c>
      <c r="G147" t="s">
        <v>15</v>
      </c>
    </row>
    <row r="148" spans="1:7" x14ac:dyDescent="0.35">
      <c r="A148" t="s">
        <v>218</v>
      </c>
      <c r="B148" t="s">
        <v>61</v>
      </c>
      <c r="C148" t="s">
        <v>48</v>
      </c>
      <c r="D148" s="1">
        <v>45243</v>
      </c>
      <c r="E148" s="2">
        <v>0.72916666666666663</v>
      </c>
      <c r="F148" t="s">
        <v>26</v>
      </c>
      <c r="G148" t="s">
        <v>41</v>
      </c>
    </row>
    <row r="149" spans="1:7" x14ac:dyDescent="0.35">
      <c r="A149" t="s">
        <v>219</v>
      </c>
      <c r="B149" t="s">
        <v>97</v>
      </c>
      <c r="C149" t="s">
        <v>48</v>
      </c>
      <c r="D149" s="1">
        <v>45266</v>
      </c>
      <c r="E149" s="2">
        <v>0.35416666666666669</v>
      </c>
      <c r="F149" t="s">
        <v>18</v>
      </c>
      <c r="G149" t="s">
        <v>11</v>
      </c>
    </row>
    <row r="150" spans="1:7" x14ac:dyDescent="0.35">
      <c r="A150" t="s">
        <v>220</v>
      </c>
      <c r="B150" t="s">
        <v>100</v>
      </c>
      <c r="C150" t="s">
        <v>48</v>
      </c>
      <c r="D150" s="1">
        <v>45133</v>
      </c>
      <c r="E150" s="2">
        <v>0.52083333333333337</v>
      </c>
      <c r="F150" t="s">
        <v>38</v>
      </c>
      <c r="G150" t="s">
        <v>41</v>
      </c>
    </row>
    <row r="151" spans="1:7" x14ac:dyDescent="0.35">
      <c r="A151" t="s">
        <v>221</v>
      </c>
      <c r="B151" t="s">
        <v>66</v>
      </c>
      <c r="C151" t="s">
        <v>25</v>
      </c>
      <c r="D151" s="1">
        <v>45154</v>
      </c>
      <c r="E151" s="2">
        <v>0.44791666666666669</v>
      </c>
      <c r="F151" t="s">
        <v>10</v>
      </c>
      <c r="G151" t="s">
        <v>41</v>
      </c>
    </row>
    <row r="152" spans="1:7" x14ac:dyDescent="0.35">
      <c r="A152" t="s">
        <v>222</v>
      </c>
      <c r="B152" t="s">
        <v>34</v>
      </c>
      <c r="C152" t="s">
        <v>48</v>
      </c>
      <c r="D152" s="1">
        <v>44954</v>
      </c>
      <c r="E152" s="2">
        <v>0.38541666666666669</v>
      </c>
      <c r="F152" t="s">
        <v>10</v>
      </c>
      <c r="G152" t="s">
        <v>11</v>
      </c>
    </row>
    <row r="153" spans="1:7" x14ac:dyDescent="0.35">
      <c r="A153" t="s">
        <v>223</v>
      </c>
      <c r="B153" t="s">
        <v>40</v>
      </c>
      <c r="C153" t="s">
        <v>14</v>
      </c>
      <c r="D153" s="1">
        <v>45030</v>
      </c>
      <c r="E153" s="2">
        <v>0.35416666666666669</v>
      </c>
      <c r="F153" t="s">
        <v>10</v>
      </c>
      <c r="G153" t="s">
        <v>41</v>
      </c>
    </row>
    <row r="154" spans="1:7" x14ac:dyDescent="0.35">
      <c r="A154" t="s">
        <v>224</v>
      </c>
      <c r="B154" t="s">
        <v>125</v>
      </c>
      <c r="C154" t="s">
        <v>9</v>
      </c>
      <c r="D154" s="1">
        <v>45115</v>
      </c>
      <c r="E154" s="2">
        <v>0.53125</v>
      </c>
      <c r="F154" t="s">
        <v>18</v>
      </c>
      <c r="G154" t="s">
        <v>41</v>
      </c>
    </row>
    <row r="155" spans="1:7" x14ac:dyDescent="0.35">
      <c r="A155" t="s">
        <v>225</v>
      </c>
      <c r="B155" t="s">
        <v>50</v>
      </c>
      <c r="C155" t="s">
        <v>22</v>
      </c>
      <c r="D155" s="1">
        <v>44991</v>
      </c>
      <c r="E155" s="2">
        <v>0.72916666666666663</v>
      </c>
      <c r="F155" t="s">
        <v>26</v>
      </c>
      <c r="G155" t="s">
        <v>15</v>
      </c>
    </row>
    <row r="156" spans="1:7" x14ac:dyDescent="0.35">
      <c r="A156" t="s">
        <v>226</v>
      </c>
      <c r="B156" t="s">
        <v>21</v>
      </c>
      <c r="C156" t="s">
        <v>59</v>
      </c>
      <c r="D156" s="1">
        <v>44929</v>
      </c>
      <c r="E156" s="2">
        <v>0.39583333333333331</v>
      </c>
      <c r="F156" t="s">
        <v>18</v>
      </c>
      <c r="G156" t="s">
        <v>19</v>
      </c>
    </row>
    <row r="157" spans="1:7" x14ac:dyDescent="0.35">
      <c r="A157" t="s">
        <v>227</v>
      </c>
      <c r="B157" t="s">
        <v>81</v>
      </c>
      <c r="C157" t="s">
        <v>54</v>
      </c>
      <c r="D157" s="1">
        <v>45252</v>
      </c>
      <c r="E157" s="2">
        <v>0.60416666666666663</v>
      </c>
      <c r="F157" t="s">
        <v>10</v>
      </c>
      <c r="G157" t="s">
        <v>41</v>
      </c>
    </row>
    <row r="158" spans="1:7" x14ac:dyDescent="0.35">
      <c r="A158" t="s">
        <v>228</v>
      </c>
      <c r="B158" t="s">
        <v>84</v>
      </c>
      <c r="C158" t="s">
        <v>32</v>
      </c>
      <c r="D158" s="1">
        <v>45058</v>
      </c>
      <c r="E158" s="2">
        <v>0.45833333333333331</v>
      </c>
      <c r="F158" t="s">
        <v>38</v>
      </c>
      <c r="G158" t="s">
        <v>41</v>
      </c>
    </row>
    <row r="159" spans="1:7" x14ac:dyDescent="0.35">
      <c r="A159" t="s">
        <v>229</v>
      </c>
      <c r="B159" t="s">
        <v>90</v>
      </c>
      <c r="C159" t="s">
        <v>35</v>
      </c>
      <c r="D159" s="1">
        <v>45119</v>
      </c>
      <c r="E159" s="2">
        <v>0.51041666666666663</v>
      </c>
      <c r="F159" t="s">
        <v>29</v>
      </c>
      <c r="G159" t="s">
        <v>41</v>
      </c>
    </row>
    <row r="160" spans="1:7" x14ac:dyDescent="0.35">
      <c r="A160" t="s">
        <v>230</v>
      </c>
      <c r="B160" t="s">
        <v>34</v>
      </c>
      <c r="C160" t="s">
        <v>25</v>
      </c>
      <c r="D160" s="1">
        <v>45024</v>
      </c>
      <c r="E160" s="2">
        <v>0.67708333333333337</v>
      </c>
      <c r="F160" t="s">
        <v>26</v>
      </c>
      <c r="G160" t="s">
        <v>15</v>
      </c>
    </row>
    <row r="161" spans="1:7" x14ac:dyDescent="0.35">
      <c r="A161" t="s">
        <v>231</v>
      </c>
      <c r="B161" t="s">
        <v>37</v>
      </c>
      <c r="C161" t="s">
        <v>59</v>
      </c>
      <c r="D161" s="1">
        <v>45277</v>
      </c>
      <c r="E161" s="2">
        <v>0.53125</v>
      </c>
      <c r="F161" t="s">
        <v>26</v>
      </c>
      <c r="G161" t="s">
        <v>19</v>
      </c>
    </row>
    <row r="162" spans="1:7" x14ac:dyDescent="0.35">
      <c r="A162" t="s">
        <v>232</v>
      </c>
      <c r="B162" t="s">
        <v>28</v>
      </c>
      <c r="C162" t="s">
        <v>74</v>
      </c>
      <c r="D162" s="1">
        <v>45094</v>
      </c>
      <c r="E162" s="2">
        <v>0.44791666666666669</v>
      </c>
      <c r="F162" t="s">
        <v>18</v>
      </c>
      <c r="G162" t="s">
        <v>11</v>
      </c>
    </row>
    <row r="163" spans="1:7" x14ac:dyDescent="0.35">
      <c r="A163" t="s">
        <v>233</v>
      </c>
      <c r="B163" t="s">
        <v>234</v>
      </c>
      <c r="C163" t="s">
        <v>14</v>
      </c>
      <c r="D163" s="1">
        <v>44927</v>
      </c>
      <c r="E163" s="2">
        <v>0.71875</v>
      </c>
      <c r="F163" t="s">
        <v>26</v>
      </c>
      <c r="G163" t="s">
        <v>15</v>
      </c>
    </row>
    <row r="164" spans="1:7" x14ac:dyDescent="0.35">
      <c r="A164" t="s">
        <v>235</v>
      </c>
      <c r="B164" t="s">
        <v>37</v>
      </c>
      <c r="C164" t="s">
        <v>35</v>
      </c>
      <c r="D164" s="1">
        <v>45104</v>
      </c>
      <c r="E164" s="2">
        <v>0.625</v>
      </c>
      <c r="F164" t="s">
        <v>10</v>
      </c>
      <c r="G164" t="s">
        <v>15</v>
      </c>
    </row>
    <row r="165" spans="1:7" x14ac:dyDescent="0.35">
      <c r="A165" t="s">
        <v>236</v>
      </c>
      <c r="B165" t="s">
        <v>61</v>
      </c>
      <c r="C165" t="s">
        <v>54</v>
      </c>
      <c r="D165" s="1">
        <v>45135</v>
      </c>
      <c r="E165" s="2">
        <v>0.71875</v>
      </c>
      <c r="F165" t="s">
        <v>10</v>
      </c>
      <c r="G165" t="s">
        <v>19</v>
      </c>
    </row>
    <row r="166" spans="1:7" x14ac:dyDescent="0.35">
      <c r="A166" t="s">
        <v>237</v>
      </c>
      <c r="B166" t="s">
        <v>97</v>
      </c>
      <c r="C166" t="s">
        <v>59</v>
      </c>
      <c r="D166" s="1">
        <v>45020</v>
      </c>
      <c r="E166" s="2">
        <v>0.64583333333333337</v>
      </c>
      <c r="F166" t="s">
        <v>18</v>
      </c>
      <c r="G166" t="s">
        <v>19</v>
      </c>
    </row>
    <row r="167" spans="1:7" x14ac:dyDescent="0.35">
      <c r="A167" t="s">
        <v>238</v>
      </c>
      <c r="B167" t="s">
        <v>40</v>
      </c>
      <c r="C167" t="s">
        <v>35</v>
      </c>
      <c r="D167" s="1">
        <v>44938</v>
      </c>
      <c r="E167" s="2">
        <v>0.61458333333333337</v>
      </c>
      <c r="F167" t="s">
        <v>10</v>
      </c>
      <c r="G167" t="s">
        <v>15</v>
      </c>
    </row>
    <row r="168" spans="1:7" x14ac:dyDescent="0.35">
      <c r="A168" t="s">
        <v>239</v>
      </c>
      <c r="B168" t="s">
        <v>125</v>
      </c>
      <c r="C168" t="s">
        <v>59</v>
      </c>
      <c r="D168" s="1">
        <v>45245</v>
      </c>
      <c r="E168" s="2">
        <v>0.34375</v>
      </c>
      <c r="F168" t="s">
        <v>38</v>
      </c>
      <c r="G168" t="s">
        <v>11</v>
      </c>
    </row>
    <row r="169" spans="1:7" x14ac:dyDescent="0.35">
      <c r="A169" t="s">
        <v>240</v>
      </c>
      <c r="B169" t="s">
        <v>90</v>
      </c>
      <c r="C169" t="s">
        <v>14</v>
      </c>
      <c r="D169" s="1">
        <v>45198</v>
      </c>
      <c r="E169" s="2">
        <v>0.41666666666666669</v>
      </c>
      <c r="F169" t="s">
        <v>18</v>
      </c>
      <c r="G169" t="s">
        <v>15</v>
      </c>
    </row>
    <row r="170" spans="1:7" x14ac:dyDescent="0.35">
      <c r="A170" t="s">
        <v>241</v>
      </c>
      <c r="B170" t="s">
        <v>45</v>
      </c>
      <c r="C170" t="s">
        <v>54</v>
      </c>
      <c r="D170" s="1">
        <v>45131</v>
      </c>
      <c r="E170" s="2">
        <v>0.69791666666666663</v>
      </c>
      <c r="F170" t="s">
        <v>38</v>
      </c>
      <c r="G170" t="s">
        <v>19</v>
      </c>
    </row>
    <row r="171" spans="1:7" x14ac:dyDescent="0.35">
      <c r="A171" t="s">
        <v>242</v>
      </c>
      <c r="B171" t="s">
        <v>129</v>
      </c>
      <c r="C171" t="s">
        <v>74</v>
      </c>
      <c r="D171" s="1">
        <v>44988</v>
      </c>
      <c r="E171" s="2">
        <v>0.375</v>
      </c>
      <c r="F171" t="s">
        <v>29</v>
      </c>
      <c r="G171" t="s">
        <v>11</v>
      </c>
    </row>
    <row r="172" spans="1:7" x14ac:dyDescent="0.35">
      <c r="A172" t="s">
        <v>243</v>
      </c>
      <c r="B172" t="s">
        <v>168</v>
      </c>
      <c r="C172" t="s">
        <v>48</v>
      </c>
      <c r="D172" s="1">
        <v>45034</v>
      </c>
      <c r="E172" s="2">
        <v>0.6875</v>
      </c>
      <c r="F172" t="s">
        <v>38</v>
      </c>
      <c r="G172" t="s">
        <v>19</v>
      </c>
    </row>
    <row r="173" spans="1:7" x14ac:dyDescent="0.35">
      <c r="A173" t="s">
        <v>244</v>
      </c>
      <c r="B173" t="s">
        <v>185</v>
      </c>
      <c r="C173" t="s">
        <v>22</v>
      </c>
      <c r="D173" s="1">
        <v>44994</v>
      </c>
      <c r="E173" s="2">
        <v>0.67708333333333337</v>
      </c>
      <c r="F173" t="s">
        <v>29</v>
      </c>
      <c r="G173" t="s">
        <v>11</v>
      </c>
    </row>
    <row r="174" spans="1:7" x14ac:dyDescent="0.35">
      <c r="A174" t="s">
        <v>245</v>
      </c>
      <c r="B174" t="s">
        <v>66</v>
      </c>
      <c r="C174" t="s">
        <v>74</v>
      </c>
      <c r="D174" s="1">
        <v>45081</v>
      </c>
      <c r="E174" s="2">
        <v>0.5625</v>
      </c>
      <c r="F174" t="s">
        <v>29</v>
      </c>
      <c r="G174" t="s">
        <v>41</v>
      </c>
    </row>
    <row r="175" spans="1:7" x14ac:dyDescent="0.35">
      <c r="A175" t="s">
        <v>246</v>
      </c>
      <c r="B175" t="s">
        <v>50</v>
      </c>
      <c r="C175" t="s">
        <v>48</v>
      </c>
      <c r="D175" s="1">
        <v>45230</v>
      </c>
      <c r="E175" s="2">
        <v>0.46875</v>
      </c>
      <c r="F175" t="s">
        <v>38</v>
      </c>
      <c r="G175" t="s">
        <v>19</v>
      </c>
    </row>
    <row r="176" spans="1:7" x14ac:dyDescent="0.35">
      <c r="A176" t="s">
        <v>247</v>
      </c>
      <c r="B176" t="s">
        <v>177</v>
      </c>
      <c r="C176" t="s">
        <v>25</v>
      </c>
      <c r="D176" s="1">
        <v>45221</v>
      </c>
      <c r="E176" s="2">
        <v>0.70833333333333337</v>
      </c>
      <c r="F176" t="s">
        <v>18</v>
      </c>
      <c r="G176" t="s">
        <v>19</v>
      </c>
    </row>
    <row r="177" spans="1:7" x14ac:dyDescent="0.35">
      <c r="A177" t="s">
        <v>248</v>
      </c>
      <c r="B177" t="s">
        <v>92</v>
      </c>
      <c r="C177" t="s">
        <v>9</v>
      </c>
      <c r="D177" s="1">
        <v>45042</v>
      </c>
      <c r="E177" s="2">
        <v>0.39583333333333331</v>
      </c>
      <c r="F177" t="s">
        <v>10</v>
      </c>
      <c r="G177" t="s">
        <v>15</v>
      </c>
    </row>
    <row r="178" spans="1:7" x14ac:dyDescent="0.35">
      <c r="A178" t="s">
        <v>249</v>
      </c>
      <c r="B178" t="s">
        <v>139</v>
      </c>
      <c r="C178" t="s">
        <v>32</v>
      </c>
      <c r="D178" s="1">
        <v>45154</v>
      </c>
      <c r="E178" s="2">
        <v>0.52083333333333337</v>
      </c>
      <c r="F178" t="s">
        <v>10</v>
      </c>
      <c r="G178" t="s">
        <v>19</v>
      </c>
    </row>
    <row r="179" spans="1:7" x14ac:dyDescent="0.35">
      <c r="A179" t="s">
        <v>250</v>
      </c>
      <c r="B179" t="s">
        <v>151</v>
      </c>
      <c r="C179" t="s">
        <v>32</v>
      </c>
      <c r="D179" s="1">
        <v>44943</v>
      </c>
      <c r="E179" s="2">
        <v>0.55208333333333337</v>
      </c>
      <c r="F179" t="s">
        <v>29</v>
      </c>
      <c r="G179" t="s">
        <v>19</v>
      </c>
    </row>
    <row r="180" spans="1:7" x14ac:dyDescent="0.35">
      <c r="A180" t="s">
        <v>251</v>
      </c>
      <c r="B180" t="s">
        <v>252</v>
      </c>
      <c r="C180" t="s">
        <v>22</v>
      </c>
      <c r="D180" s="1">
        <v>44993</v>
      </c>
      <c r="E180" s="2">
        <v>0.51041666666666663</v>
      </c>
      <c r="F180" t="s">
        <v>29</v>
      </c>
      <c r="G180" t="s">
        <v>41</v>
      </c>
    </row>
    <row r="181" spans="1:7" x14ac:dyDescent="0.35">
      <c r="A181" t="s">
        <v>253</v>
      </c>
      <c r="B181" t="s">
        <v>163</v>
      </c>
      <c r="C181" t="s">
        <v>54</v>
      </c>
      <c r="D181" s="1">
        <v>44933</v>
      </c>
      <c r="E181" s="2">
        <v>0.45833333333333331</v>
      </c>
      <c r="F181" t="s">
        <v>18</v>
      </c>
      <c r="G181" t="s">
        <v>19</v>
      </c>
    </row>
    <row r="182" spans="1:7" x14ac:dyDescent="0.35">
      <c r="A182" t="s">
        <v>254</v>
      </c>
      <c r="B182" t="s">
        <v>72</v>
      </c>
      <c r="C182" t="s">
        <v>14</v>
      </c>
      <c r="D182" s="1">
        <v>45172</v>
      </c>
      <c r="E182" s="2">
        <v>0.55208333333333337</v>
      </c>
      <c r="F182" t="s">
        <v>26</v>
      </c>
      <c r="G182" t="s">
        <v>41</v>
      </c>
    </row>
    <row r="183" spans="1:7" x14ac:dyDescent="0.35">
      <c r="A183" t="s">
        <v>255</v>
      </c>
      <c r="B183" t="s">
        <v>142</v>
      </c>
      <c r="C183" t="s">
        <v>54</v>
      </c>
      <c r="D183" s="1">
        <v>45028</v>
      </c>
      <c r="E183" s="2">
        <v>0.33333333333333331</v>
      </c>
      <c r="F183" t="s">
        <v>38</v>
      </c>
      <c r="G183" t="s">
        <v>41</v>
      </c>
    </row>
    <row r="184" spans="1:7" x14ac:dyDescent="0.35">
      <c r="A184" t="s">
        <v>256</v>
      </c>
      <c r="B184" t="s">
        <v>24</v>
      </c>
      <c r="C184" t="s">
        <v>14</v>
      </c>
      <c r="D184" s="1">
        <v>44960</v>
      </c>
      <c r="E184" s="2">
        <v>0.67708333333333337</v>
      </c>
      <c r="F184" t="s">
        <v>29</v>
      </c>
      <c r="G184" t="s">
        <v>41</v>
      </c>
    </row>
    <row r="185" spans="1:7" x14ac:dyDescent="0.35">
      <c r="A185" t="s">
        <v>257</v>
      </c>
      <c r="B185" t="s">
        <v>234</v>
      </c>
      <c r="C185" t="s">
        <v>54</v>
      </c>
      <c r="D185" s="1">
        <v>44983</v>
      </c>
      <c r="E185" s="2">
        <v>0.73958333333333337</v>
      </c>
      <c r="F185" t="s">
        <v>10</v>
      </c>
      <c r="G185" t="s">
        <v>41</v>
      </c>
    </row>
    <row r="186" spans="1:7" x14ac:dyDescent="0.35">
      <c r="A186" t="s">
        <v>258</v>
      </c>
      <c r="B186" t="s">
        <v>177</v>
      </c>
      <c r="C186" t="s">
        <v>9</v>
      </c>
      <c r="D186" s="1">
        <v>45006</v>
      </c>
      <c r="E186" s="2">
        <v>0.58333333333333337</v>
      </c>
      <c r="F186" t="s">
        <v>18</v>
      </c>
      <c r="G186" t="s">
        <v>11</v>
      </c>
    </row>
    <row r="187" spans="1:7" x14ac:dyDescent="0.35">
      <c r="A187" t="s">
        <v>259</v>
      </c>
      <c r="B187" t="s">
        <v>123</v>
      </c>
      <c r="C187" t="s">
        <v>25</v>
      </c>
      <c r="D187" s="1">
        <v>45012</v>
      </c>
      <c r="E187" s="2">
        <v>0.71875</v>
      </c>
      <c r="F187" t="s">
        <v>38</v>
      </c>
      <c r="G187" t="s">
        <v>15</v>
      </c>
    </row>
    <row r="188" spans="1:7" x14ac:dyDescent="0.35">
      <c r="A188" t="s">
        <v>260</v>
      </c>
      <c r="B188" t="s">
        <v>117</v>
      </c>
      <c r="C188" t="s">
        <v>25</v>
      </c>
      <c r="D188" s="1">
        <v>44970</v>
      </c>
      <c r="E188" s="2">
        <v>0.52083333333333337</v>
      </c>
      <c r="F188" t="s">
        <v>18</v>
      </c>
      <c r="G188" t="s">
        <v>11</v>
      </c>
    </row>
    <row r="189" spans="1:7" x14ac:dyDescent="0.35">
      <c r="A189" t="s">
        <v>261</v>
      </c>
      <c r="B189" t="s">
        <v>112</v>
      </c>
      <c r="C189" t="s">
        <v>48</v>
      </c>
      <c r="D189" s="1">
        <v>45028</v>
      </c>
      <c r="E189" s="2">
        <v>0.6875</v>
      </c>
      <c r="F189" t="s">
        <v>38</v>
      </c>
      <c r="G189" t="s">
        <v>19</v>
      </c>
    </row>
    <row r="190" spans="1:7" x14ac:dyDescent="0.35">
      <c r="A190" t="s">
        <v>262</v>
      </c>
      <c r="B190" t="s">
        <v>40</v>
      </c>
      <c r="C190" t="s">
        <v>35</v>
      </c>
      <c r="D190" s="1">
        <v>45204</v>
      </c>
      <c r="E190" s="2">
        <v>0.5625</v>
      </c>
      <c r="F190" t="s">
        <v>38</v>
      </c>
      <c r="G190" t="s">
        <v>11</v>
      </c>
    </row>
    <row r="191" spans="1:7" x14ac:dyDescent="0.35">
      <c r="A191" t="s">
        <v>263</v>
      </c>
      <c r="B191" t="s">
        <v>45</v>
      </c>
      <c r="C191" t="s">
        <v>25</v>
      </c>
      <c r="D191" s="1">
        <v>45246</v>
      </c>
      <c r="E191" s="2">
        <v>0.63541666666666663</v>
      </c>
      <c r="F191" t="s">
        <v>29</v>
      </c>
      <c r="G191" t="s">
        <v>11</v>
      </c>
    </row>
    <row r="192" spans="1:7" x14ac:dyDescent="0.35">
      <c r="A192" t="s">
        <v>264</v>
      </c>
      <c r="B192" t="s">
        <v>56</v>
      </c>
      <c r="C192" t="s">
        <v>25</v>
      </c>
      <c r="D192" s="1">
        <v>45028</v>
      </c>
      <c r="E192" s="2">
        <v>0.66666666666666663</v>
      </c>
      <c r="F192" t="s">
        <v>18</v>
      </c>
      <c r="G192" t="s">
        <v>19</v>
      </c>
    </row>
    <row r="193" spans="1:7" x14ac:dyDescent="0.35">
      <c r="A193" t="s">
        <v>265</v>
      </c>
      <c r="B193" t="s">
        <v>252</v>
      </c>
      <c r="C193" t="s">
        <v>74</v>
      </c>
      <c r="D193" s="1">
        <v>45169</v>
      </c>
      <c r="E193" s="2">
        <v>0.59375</v>
      </c>
      <c r="F193" t="s">
        <v>18</v>
      </c>
      <c r="G193" t="s">
        <v>19</v>
      </c>
    </row>
    <row r="194" spans="1:7" x14ac:dyDescent="0.35">
      <c r="A194" t="s">
        <v>266</v>
      </c>
      <c r="B194" t="s">
        <v>100</v>
      </c>
      <c r="C194" t="s">
        <v>74</v>
      </c>
      <c r="D194" s="1">
        <v>45184</v>
      </c>
      <c r="E194" s="2">
        <v>0.34375</v>
      </c>
      <c r="F194" t="s">
        <v>10</v>
      </c>
      <c r="G194" t="s">
        <v>19</v>
      </c>
    </row>
    <row r="195" spans="1:7" x14ac:dyDescent="0.35">
      <c r="A195" t="s">
        <v>267</v>
      </c>
      <c r="B195" t="s">
        <v>154</v>
      </c>
      <c r="C195" t="s">
        <v>48</v>
      </c>
      <c r="D195" s="1">
        <v>45022</v>
      </c>
      <c r="E195" s="2">
        <v>0.53125</v>
      </c>
      <c r="F195" t="s">
        <v>10</v>
      </c>
      <c r="G195" t="s">
        <v>11</v>
      </c>
    </row>
    <row r="196" spans="1:7" x14ac:dyDescent="0.35">
      <c r="A196" t="s">
        <v>268</v>
      </c>
      <c r="B196" t="s">
        <v>17</v>
      </c>
      <c r="C196" t="s">
        <v>35</v>
      </c>
      <c r="D196" s="1">
        <v>45157</v>
      </c>
      <c r="E196" s="2">
        <v>0.71875</v>
      </c>
      <c r="F196" t="s">
        <v>29</v>
      </c>
      <c r="G196" t="s">
        <v>11</v>
      </c>
    </row>
    <row r="197" spans="1:7" x14ac:dyDescent="0.35">
      <c r="A197" t="s">
        <v>269</v>
      </c>
      <c r="B197" t="s">
        <v>28</v>
      </c>
      <c r="C197" t="s">
        <v>22</v>
      </c>
      <c r="D197" s="1">
        <v>45225</v>
      </c>
      <c r="E197" s="2">
        <v>0.40625</v>
      </c>
      <c r="F197" t="s">
        <v>29</v>
      </c>
      <c r="G197" t="s">
        <v>19</v>
      </c>
    </row>
    <row r="198" spans="1:7" x14ac:dyDescent="0.35">
      <c r="A198" t="s">
        <v>270</v>
      </c>
      <c r="B198" t="s">
        <v>31</v>
      </c>
      <c r="C198" t="s">
        <v>74</v>
      </c>
      <c r="D198" s="1">
        <v>45017</v>
      </c>
      <c r="E198" s="2">
        <v>0.5625</v>
      </c>
      <c r="F198" t="s">
        <v>26</v>
      </c>
      <c r="G198" t="s">
        <v>15</v>
      </c>
    </row>
    <row r="199" spans="1:7" x14ac:dyDescent="0.35">
      <c r="A199" t="s">
        <v>271</v>
      </c>
      <c r="B199" t="s">
        <v>43</v>
      </c>
      <c r="C199" t="s">
        <v>22</v>
      </c>
      <c r="D199" s="1">
        <v>45061</v>
      </c>
      <c r="E199" s="2">
        <v>0.35416666666666669</v>
      </c>
      <c r="F199" t="s">
        <v>10</v>
      </c>
      <c r="G199" t="s">
        <v>15</v>
      </c>
    </row>
    <row r="200" spans="1:7" x14ac:dyDescent="0.35">
      <c r="A200" t="s">
        <v>272</v>
      </c>
      <c r="B200" t="s">
        <v>151</v>
      </c>
      <c r="C200" t="s">
        <v>59</v>
      </c>
      <c r="D200" s="1">
        <v>45047</v>
      </c>
      <c r="E200" s="2">
        <v>0.53125</v>
      </c>
      <c r="F200" t="s">
        <v>38</v>
      </c>
      <c r="G200" t="s">
        <v>41</v>
      </c>
    </row>
    <row r="201" spans="1:7" x14ac:dyDescent="0.35">
      <c r="A201" t="s">
        <v>273</v>
      </c>
      <c r="B201" t="s">
        <v>163</v>
      </c>
      <c r="C201" t="s">
        <v>74</v>
      </c>
      <c r="D201" s="1">
        <v>45290</v>
      </c>
      <c r="E201" s="2">
        <v>0.42708333333333331</v>
      </c>
      <c r="F201" t="s">
        <v>18</v>
      </c>
      <c r="G201"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533A-0343-46C0-B224-D4C292BD8D8B}">
  <dimension ref="A3:B8"/>
  <sheetViews>
    <sheetView workbookViewId="0">
      <selection activeCell="B16" sqref="B16"/>
    </sheetView>
  </sheetViews>
  <sheetFormatPr defaultRowHeight="14.5" x14ac:dyDescent="0.35"/>
  <cols>
    <col min="1" max="1" width="12.453125" bestFit="1" customWidth="1"/>
    <col min="2" max="2" width="21.81640625" bestFit="1" customWidth="1"/>
  </cols>
  <sheetData>
    <row r="3" spans="1:2" x14ac:dyDescent="0.35">
      <c r="A3" s="11" t="s">
        <v>903</v>
      </c>
      <c r="B3" t="s">
        <v>905</v>
      </c>
    </row>
    <row r="4" spans="1:2" x14ac:dyDescent="0.35">
      <c r="A4" s="12" t="s">
        <v>19</v>
      </c>
      <c r="B4" s="13">
        <v>51</v>
      </c>
    </row>
    <row r="5" spans="1:2" x14ac:dyDescent="0.35">
      <c r="A5" s="12" t="s">
        <v>41</v>
      </c>
      <c r="B5" s="13">
        <v>46</v>
      </c>
    </row>
    <row r="6" spans="1:2" x14ac:dyDescent="0.35">
      <c r="A6" s="12" t="s">
        <v>15</v>
      </c>
      <c r="B6" s="13">
        <v>52</v>
      </c>
    </row>
    <row r="7" spans="1:2" x14ac:dyDescent="0.35">
      <c r="A7" s="12" t="s">
        <v>11</v>
      </c>
      <c r="B7" s="13">
        <v>51</v>
      </c>
    </row>
    <row r="8" spans="1:2" x14ac:dyDescent="0.35">
      <c r="A8" s="12" t="s">
        <v>904</v>
      </c>
      <c r="B8" s="13">
        <v>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E502-AE48-4F53-B2F1-738C9956B9DB}">
  <dimension ref="A3:B8"/>
  <sheetViews>
    <sheetView workbookViewId="0">
      <selection activeCell="C18" sqref="C18"/>
    </sheetView>
  </sheetViews>
  <sheetFormatPr defaultRowHeight="14.5" x14ac:dyDescent="0.35"/>
  <cols>
    <col min="1" max="1" width="12.453125" bestFit="1" customWidth="1"/>
    <col min="2" max="2" width="21.81640625" bestFit="1" customWidth="1"/>
  </cols>
  <sheetData>
    <row r="3" spans="1:2" x14ac:dyDescent="0.35">
      <c r="A3" s="11" t="s">
        <v>903</v>
      </c>
      <c r="B3" t="s">
        <v>905</v>
      </c>
    </row>
    <row r="4" spans="1:2" x14ac:dyDescent="0.35">
      <c r="A4" s="12" t="s">
        <v>19</v>
      </c>
      <c r="B4" s="13">
        <v>51</v>
      </c>
    </row>
    <row r="5" spans="1:2" x14ac:dyDescent="0.35">
      <c r="A5" s="12" t="s">
        <v>41</v>
      </c>
      <c r="B5" s="13">
        <v>46</v>
      </c>
    </row>
    <row r="6" spans="1:2" x14ac:dyDescent="0.35">
      <c r="A6" s="12" t="s">
        <v>15</v>
      </c>
      <c r="B6" s="13">
        <v>52</v>
      </c>
    </row>
    <row r="7" spans="1:2" x14ac:dyDescent="0.35">
      <c r="A7" s="12" t="s">
        <v>11</v>
      </c>
      <c r="B7" s="13">
        <v>51</v>
      </c>
    </row>
    <row r="8" spans="1:2" x14ac:dyDescent="0.35">
      <c r="A8" s="12" t="s">
        <v>904</v>
      </c>
      <c r="B8" s="13">
        <v>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1303-BBCA-4226-9C4F-DB72C1A46030}">
  <dimension ref="A3:B8"/>
  <sheetViews>
    <sheetView workbookViewId="0">
      <selection activeCell="I19" sqref="I19"/>
    </sheetView>
  </sheetViews>
  <sheetFormatPr defaultRowHeight="14.5" x14ac:dyDescent="0.35"/>
  <cols>
    <col min="1" max="1" width="12.453125" bestFit="1" customWidth="1"/>
    <col min="2" max="2" width="21.81640625" bestFit="1" customWidth="1"/>
  </cols>
  <sheetData>
    <row r="3" spans="1:2" x14ac:dyDescent="0.35">
      <c r="A3" s="11" t="s">
        <v>903</v>
      </c>
      <c r="B3" t="s">
        <v>905</v>
      </c>
    </row>
    <row r="4" spans="1:2" x14ac:dyDescent="0.35">
      <c r="A4" s="12" t="s">
        <v>19</v>
      </c>
      <c r="B4" s="13">
        <v>51</v>
      </c>
    </row>
    <row r="5" spans="1:2" x14ac:dyDescent="0.35">
      <c r="A5" s="12" t="s">
        <v>41</v>
      </c>
      <c r="B5" s="13">
        <v>46</v>
      </c>
    </row>
    <row r="6" spans="1:2" x14ac:dyDescent="0.35">
      <c r="A6" s="12" t="s">
        <v>15</v>
      </c>
      <c r="B6" s="13">
        <v>52</v>
      </c>
    </row>
    <row r="7" spans="1:2" x14ac:dyDescent="0.35">
      <c r="A7" s="12" t="s">
        <v>11</v>
      </c>
      <c r="B7" s="13">
        <v>51</v>
      </c>
    </row>
    <row r="8" spans="1:2" x14ac:dyDescent="0.35">
      <c r="A8" s="12" t="s">
        <v>904</v>
      </c>
      <c r="B8" s="13">
        <v>200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2D56A-4E26-46C5-94AD-22265A92B9D7}">
  <dimension ref="A3:B7"/>
  <sheetViews>
    <sheetView workbookViewId="0">
      <selection activeCell="L18" sqref="L18"/>
    </sheetView>
  </sheetViews>
  <sheetFormatPr defaultRowHeight="14.5" x14ac:dyDescent="0.35"/>
  <cols>
    <col min="1" max="1" width="12.453125" bestFit="1" customWidth="1"/>
    <col min="2" max="2" width="13.54296875" bestFit="1" customWidth="1"/>
  </cols>
  <sheetData>
    <row r="3" spans="1:2" x14ac:dyDescent="0.35">
      <c r="A3" s="11" t="s">
        <v>903</v>
      </c>
      <c r="B3" t="s">
        <v>907</v>
      </c>
    </row>
    <row r="4" spans="1:2" x14ac:dyDescent="0.35">
      <c r="A4" s="12" t="s">
        <v>650</v>
      </c>
      <c r="B4" s="3">
        <v>193212.94</v>
      </c>
    </row>
    <row r="5" spans="1:2" x14ac:dyDescent="0.35">
      <c r="A5" s="12" t="s">
        <v>647</v>
      </c>
      <c r="B5" s="3">
        <v>173424.89999999994</v>
      </c>
    </row>
    <row r="6" spans="1:2" x14ac:dyDescent="0.35">
      <c r="A6" s="12" t="s">
        <v>645</v>
      </c>
      <c r="B6" s="3">
        <v>184612.01000000004</v>
      </c>
    </row>
    <row r="7" spans="1:2" x14ac:dyDescent="0.35">
      <c r="A7" s="12" t="s">
        <v>904</v>
      </c>
      <c r="B7" s="3">
        <v>551249.85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03E8F-33F6-4EF3-8715-CB09812ADA55}">
  <dimension ref="A3:B7"/>
  <sheetViews>
    <sheetView workbookViewId="0">
      <selection activeCell="A3" sqref="A3"/>
    </sheetView>
  </sheetViews>
  <sheetFormatPr defaultRowHeight="14.5" x14ac:dyDescent="0.35"/>
  <cols>
    <col min="1" max="1" width="12.453125" bestFit="1" customWidth="1"/>
    <col min="2" max="2" width="13.54296875" bestFit="1" customWidth="1"/>
  </cols>
  <sheetData>
    <row r="3" spans="1:2" x14ac:dyDescent="0.35">
      <c r="A3" s="11" t="s">
        <v>903</v>
      </c>
      <c r="B3" t="s">
        <v>907</v>
      </c>
    </row>
    <row r="4" spans="1:2" x14ac:dyDescent="0.35">
      <c r="A4" s="12" t="s">
        <v>650</v>
      </c>
      <c r="B4" s="3">
        <v>193212.94</v>
      </c>
    </row>
    <row r="5" spans="1:2" x14ac:dyDescent="0.35">
      <c r="A5" s="12" t="s">
        <v>647</v>
      </c>
      <c r="B5" s="3">
        <v>173424.89999999994</v>
      </c>
    </row>
    <row r="6" spans="1:2" x14ac:dyDescent="0.35">
      <c r="A6" s="12" t="s">
        <v>645</v>
      </c>
      <c r="B6" s="3">
        <v>184612.01000000004</v>
      </c>
    </row>
    <row r="7" spans="1:2" x14ac:dyDescent="0.35">
      <c r="A7" s="12" t="s">
        <v>904</v>
      </c>
      <c r="B7" s="3">
        <v>551249.85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F1A2-4AC0-484C-9BC6-A716FBB163CF}">
  <dimension ref="A3:B7"/>
  <sheetViews>
    <sheetView workbookViewId="0">
      <selection activeCell="K20" sqref="K20"/>
    </sheetView>
  </sheetViews>
  <sheetFormatPr defaultRowHeight="14.5" x14ac:dyDescent="0.35"/>
  <cols>
    <col min="1" max="1" width="12.453125" bestFit="1" customWidth="1"/>
    <col min="2" max="2" width="13.54296875" bestFit="1" customWidth="1"/>
  </cols>
  <sheetData>
    <row r="3" spans="1:2" x14ac:dyDescent="0.35">
      <c r="A3" s="11" t="s">
        <v>903</v>
      </c>
      <c r="B3" t="s">
        <v>907</v>
      </c>
    </row>
    <row r="4" spans="1:2" x14ac:dyDescent="0.35">
      <c r="A4" s="12" t="s">
        <v>650</v>
      </c>
      <c r="B4" s="14">
        <v>0.35049975977317727</v>
      </c>
    </row>
    <row r="5" spans="1:2" x14ac:dyDescent="0.35">
      <c r="A5" s="12" t="s">
        <v>647</v>
      </c>
      <c r="B5" s="14">
        <v>0.31460307880355876</v>
      </c>
    </row>
    <row r="6" spans="1:2" x14ac:dyDescent="0.35">
      <c r="A6" s="12" t="s">
        <v>645</v>
      </c>
      <c r="B6" s="14">
        <v>0.33489716142326398</v>
      </c>
    </row>
    <row r="7" spans="1:2" x14ac:dyDescent="0.35">
      <c r="A7" s="12" t="s">
        <v>904</v>
      </c>
      <c r="B7" s="14">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D3F1-6C39-4986-84FC-3BEF8138FFEA}">
  <dimension ref="A3:B9"/>
  <sheetViews>
    <sheetView workbookViewId="0">
      <selection activeCell="F22" sqref="F22"/>
    </sheetView>
  </sheetViews>
  <sheetFormatPr defaultRowHeight="14.5" x14ac:dyDescent="0.35"/>
  <cols>
    <col min="1" max="1" width="12.7265625" bestFit="1" customWidth="1"/>
    <col min="2" max="2" width="13.36328125" bestFit="1" customWidth="1"/>
  </cols>
  <sheetData>
    <row r="3" spans="1:2" x14ac:dyDescent="0.35">
      <c r="A3" s="11" t="s">
        <v>903</v>
      </c>
      <c r="B3" t="s">
        <v>908</v>
      </c>
    </row>
    <row r="4" spans="1:2" x14ac:dyDescent="0.35">
      <c r="A4" s="12" t="s">
        <v>431</v>
      </c>
      <c r="B4" s="3">
        <v>2629.7077551020407</v>
      </c>
    </row>
    <row r="5" spans="1:2" x14ac:dyDescent="0.35">
      <c r="A5" s="12" t="s">
        <v>440</v>
      </c>
      <c r="B5" s="3">
        <v>2532.2168421052634</v>
      </c>
    </row>
    <row r="6" spans="1:2" x14ac:dyDescent="0.35">
      <c r="A6" s="12" t="s">
        <v>434</v>
      </c>
      <c r="B6" s="3">
        <v>3224.9488888888891</v>
      </c>
    </row>
    <row r="7" spans="1:2" x14ac:dyDescent="0.35">
      <c r="A7" s="12" t="s">
        <v>444</v>
      </c>
      <c r="B7" s="3">
        <v>2761.6138888888891</v>
      </c>
    </row>
    <row r="8" spans="1:2" x14ac:dyDescent="0.35">
      <c r="A8" s="12" t="s">
        <v>456</v>
      </c>
      <c r="B8" s="3">
        <v>2698.87</v>
      </c>
    </row>
    <row r="9" spans="1:2" x14ac:dyDescent="0.35">
      <c r="A9" s="12" t="s">
        <v>904</v>
      </c>
      <c r="B9" s="3">
        <v>2756.2492499999998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D150-C8B0-4356-AE96-7AC0E4093198}">
  <dimension ref="A3:B9"/>
  <sheetViews>
    <sheetView topLeftCell="A11" workbookViewId="0">
      <selection activeCell="L21" sqref="L21"/>
    </sheetView>
  </sheetViews>
  <sheetFormatPr defaultRowHeight="14.5" x14ac:dyDescent="0.35"/>
  <cols>
    <col min="1" max="1" width="12.7265625" bestFit="1" customWidth="1"/>
    <col min="2" max="2" width="10.54296875" bestFit="1" customWidth="1"/>
  </cols>
  <sheetData>
    <row r="3" spans="1:2" x14ac:dyDescent="0.35">
      <c r="A3" s="11" t="s">
        <v>903</v>
      </c>
      <c r="B3" t="s">
        <v>906</v>
      </c>
    </row>
    <row r="4" spans="1:2" x14ac:dyDescent="0.35">
      <c r="A4" s="12" t="s">
        <v>431</v>
      </c>
      <c r="B4" s="13">
        <v>128855.67999999999</v>
      </c>
    </row>
    <row r="5" spans="1:2" x14ac:dyDescent="0.35">
      <c r="A5" s="12" t="s">
        <v>434</v>
      </c>
      <c r="B5" s="13">
        <v>116098.16</v>
      </c>
    </row>
    <row r="6" spans="1:2" x14ac:dyDescent="0.35">
      <c r="A6" s="12" t="s">
        <v>456</v>
      </c>
      <c r="B6" s="13">
        <v>110653.67</v>
      </c>
    </row>
    <row r="7" spans="1:2" x14ac:dyDescent="0.35">
      <c r="A7" s="12" t="s">
        <v>444</v>
      </c>
      <c r="B7" s="13">
        <v>99418.1</v>
      </c>
    </row>
    <row r="8" spans="1:2" x14ac:dyDescent="0.35">
      <c r="A8" s="12" t="s">
        <v>440</v>
      </c>
      <c r="B8" s="13">
        <v>96224.24</v>
      </c>
    </row>
    <row r="9" spans="1:2" x14ac:dyDescent="0.35">
      <c r="A9" s="12" t="s">
        <v>904</v>
      </c>
      <c r="B9" s="13">
        <v>551249.85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D46A-A98E-4B46-BC94-DD5F04D11F2B}">
  <dimension ref="E2:G3"/>
  <sheetViews>
    <sheetView showGridLines="0" topLeftCell="C28" workbookViewId="0">
      <selection activeCell="I2" sqref="I2"/>
    </sheetView>
  </sheetViews>
  <sheetFormatPr defaultRowHeight="14.5" x14ac:dyDescent="0.35"/>
  <cols>
    <col min="6" max="6" width="78.1796875" customWidth="1"/>
  </cols>
  <sheetData>
    <row r="2" spans="5:7" ht="34.5" x14ac:dyDescent="0.8">
      <c r="E2" s="10"/>
      <c r="F2" s="20" t="s">
        <v>910</v>
      </c>
      <c r="G2" s="19"/>
    </row>
    <row r="3" spans="5:7" x14ac:dyDescent="0.35">
      <c r="E3" s="10"/>
      <c r="F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51F4-F963-4ADB-A9EC-C4CB0330D706}">
  <dimension ref="A3:B7"/>
  <sheetViews>
    <sheetView workbookViewId="0">
      <selection activeCell="B5" sqref="B5"/>
    </sheetView>
  </sheetViews>
  <sheetFormatPr defaultRowHeight="14.5" x14ac:dyDescent="0.35"/>
  <cols>
    <col min="1" max="1" width="12.453125" bestFit="1" customWidth="1"/>
    <col min="2" max="2" width="13.54296875" bestFit="1" customWidth="1"/>
  </cols>
  <sheetData>
    <row r="3" spans="1:2" x14ac:dyDescent="0.35">
      <c r="A3" s="11" t="s">
        <v>903</v>
      </c>
      <c r="B3" t="s">
        <v>907</v>
      </c>
    </row>
    <row r="4" spans="1:2" x14ac:dyDescent="0.35">
      <c r="A4" s="12" t="s">
        <v>650</v>
      </c>
      <c r="B4" s="3">
        <v>193212.94</v>
      </c>
    </row>
    <row r="5" spans="1:2" x14ac:dyDescent="0.35">
      <c r="A5" s="12" t="s">
        <v>647</v>
      </c>
      <c r="B5" s="3">
        <v>173424.89999999994</v>
      </c>
    </row>
    <row r="6" spans="1:2" x14ac:dyDescent="0.35">
      <c r="A6" s="12" t="s">
        <v>645</v>
      </c>
      <c r="B6" s="3">
        <v>184612.01000000004</v>
      </c>
    </row>
    <row r="7" spans="1:2" x14ac:dyDescent="0.35">
      <c r="A7" s="12" t="s">
        <v>904</v>
      </c>
      <c r="B7" s="3">
        <v>551249.85</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4A2C-818F-4122-9F62-7D285B35833F}">
  <dimension ref="A1:AA201"/>
  <sheetViews>
    <sheetView topLeftCell="A2" workbookViewId="0">
      <selection activeCell="B3" sqref="A1:AA201"/>
    </sheetView>
  </sheetViews>
  <sheetFormatPr defaultRowHeight="14.5" x14ac:dyDescent="0.35"/>
  <cols>
    <col min="1" max="1" width="16.453125" bestFit="1" customWidth="1"/>
    <col min="2" max="2" width="11.54296875" bestFit="1" customWidth="1"/>
    <col min="3" max="3" width="13.26953125" customWidth="1"/>
    <col min="4" max="4" width="9.81640625" customWidth="1"/>
    <col min="5" max="5" width="15.08984375" customWidth="1"/>
    <col min="6" max="6" width="18.453125" customWidth="1"/>
    <col min="7" max="7" width="11.6328125" customWidth="1"/>
    <col min="8" max="8" width="19.7265625" customWidth="1"/>
    <col min="9" max="9" width="22.26953125" customWidth="1"/>
    <col min="10" max="10" width="10.90625" bestFit="1" customWidth="1"/>
    <col min="11" max="11" width="17.1796875" customWidth="1"/>
    <col min="12" max="12" width="16.453125" customWidth="1"/>
    <col min="13" max="13" width="17.81640625" customWidth="1"/>
    <col min="14" max="14" width="18.54296875" customWidth="1"/>
    <col min="15" max="15" width="18.54296875" bestFit="1" customWidth="1"/>
    <col min="16" max="16" width="18.6328125" bestFit="1" customWidth="1"/>
    <col min="17" max="17" width="16.26953125" bestFit="1" customWidth="1"/>
    <col min="18" max="18" width="9.7265625" bestFit="1" customWidth="1"/>
    <col min="19" max="19" width="13.81640625" bestFit="1" customWidth="1"/>
    <col min="20" max="20" width="15.90625" bestFit="1" customWidth="1"/>
    <col min="21" max="21" width="12.08984375" style="3" customWidth="1"/>
    <col min="22" max="22" width="16" bestFit="1" customWidth="1"/>
    <col min="23" max="23" width="8.26953125" bestFit="1" customWidth="1"/>
    <col min="24" max="24" width="10.36328125" bestFit="1" customWidth="1"/>
    <col min="25" max="25" width="9.54296875" style="3" bestFit="1" customWidth="1"/>
    <col min="26" max="26" width="17.81640625" bestFit="1" customWidth="1"/>
    <col min="27" max="27" width="16.54296875" bestFit="1" customWidth="1"/>
  </cols>
  <sheetData>
    <row r="1" spans="1:27" x14ac:dyDescent="0.35">
      <c r="A1" t="s">
        <v>0</v>
      </c>
      <c r="B1" t="s">
        <v>1</v>
      </c>
      <c r="C1" t="s">
        <v>849</v>
      </c>
      <c r="D1" t="s">
        <v>850</v>
      </c>
      <c r="E1" t="s">
        <v>851</v>
      </c>
      <c r="F1" t="s">
        <v>852</v>
      </c>
      <c r="G1" t="s">
        <v>853</v>
      </c>
      <c r="H1" t="s">
        <v>854</v>
      </c>
      <c r="I1" t="s">
        <v>855</v>
      </c>
      <c r="J1" t="s">
        <v>2</v>
      </c>
      <c r="K1" t="s">
        <v>856</v>
      </c>
      <c r="L1" t="s">
        <v>857</v>
      </c>
      <c r="M1" t="s">
        <v>858</v>
      </c>
      <c r="N1" t="s">
        <v>859</v>
      </c>
      <c r="O1" t="s">
        <v>3</v>
      </c>
      <c r="P1" t="s">
        <v>4</v>
      </c>
      <c r="Q1" t="s">
        <v>5</v>
      </c>
      <c r="R1" t="s">
        <v>6</v>
      </c>
      <c r="S1" t="s">
        <v>425</v>
      </c>
      <c r="T1" t="s">
        <v>426</v>
      </c>
      <c r="U1" s="3" t="s">
        <v>428</v>
      </c>
      <c r="V1" t="s">
        <v>429</v>
      </c>
      <c r="W1" t="s">
        <v>638</v>
      </c>
      <c r="X1" t="s">
        <v>639</v>
      </c>
      <c r="Y1" s="3" t="s">
        <v>640</v>
      </c>
      <c r="Z1" t="s">
        <v>641</v>
      </c>
      <c r="AA1" t="s">
        <v>642</v>
      </c>
    </row>
    <row r="2" spans="1:27" x14ac:dyDescent="0.35">
      <c r="A2" t="s">
        <v>7</v>
      </c>
      <c r="B2" t="s">
        <v>8</v>
      </c>
      <c r="C2" t="str">
        <f>VLOOKUP(B2,patients!$A:$K,2,FALSE)&amp;" "&amp;VLOOKUP('HOSPITAL MANAGEMENT DATA'!B2,patients!$A:$K,3,FALSE)</f>
        <v>Alex Smith</v>
      </c>
      <c r="D2" t="str">
        <f>VLOOKUP(B2,patients!$A:$K,4,FALSE)</f>
        <v>F</v>
      </c>
      <c r="E2" s="1">
        <f>VLOOKUP(B2,patients!$A:$K,5,FALSE)</f>
        <v>18289</v>
      </c>
      <c r="F2">
        <f>VLOOKUP(B2,patients!$A:$K,6,FALSE)</f>
        <v>8374657733</v>
      </c>
      <c r="G2" t="str">
        <f>VLOOKUP(B2,patients!$A:$K,7,FALSE)</f>
        <v>321 Maple Dr</v>
      </c>
      <c r="H2" s="1">
        <f>VLOOKUP(B2,patients!$A:$K,8,FALSE)</f>
        <v>45095</v>
      </c>
      <c r="I2" t="str">
        <f>VLOOKUP(B2,patients!$A:$K,11,FALSE)</f>
        <v>alex.smith@mail.com</v>
      </c>
      <c r="J2" t="s">
        <v>9</v>
      </c>
      <c r="K2" t="str">
        <f>VLOOKUP(J2,doctors!$A:$H,2,FALSE)&amp;" "&amp;VLOOKUP(J2,doctors!$A:$H,3,FALSE)</f>
        <v>Sarah Smith</v>
      </c>
      <c r="L2" t="str">
        <f>VLOOKUP(J2,doctors!$A:$H,4,FALSE)</f>
        <v>Pediatrics</v>
      </c>
      <c r="M2">
        <f>VLOOKUP(J2,doctors!$A:$H,5,FALSE)</f>
        <v>7387087517</v>
      </c>
      <c r="N2" t="str">
        <f>VLOOKUP(J2,doctors!$A:$H,7,FALSE)</f>
        <v>Central Hospital</v>
      </c>
      <c r="O2" s="1">
        <v>45147</v>
      </c>
      <c r="P2" s="2">
        <v>0.63541666666666663</v>
      </c>
      <c r="Q2" t="s">
        <v>10</v>
      </c>
      <c r="R2" t="s">
        <v>11</v>
      </c>
      <c r="S2" t="s">
        <v>430</v>
      </c>
      <c r="T2" t="s">
        <v>431</v>
      </c>
      <c r="U2" s="3">
        <v>3941.97</v>
      </c>
      <c r="V2" s="1">
        <v>45147</v>
      </c>
      <c r="W2" t="s">
        <v>643</v>
      </c>
      <c r="X2" s="1">
        <v>45147</v>
      </c>
      <c r="Y2" s="3">
        <v>3941.97</v>
      </c>
      <c r="Z2" t="s">
        <v>644</v>
      </c>
      <c r="AA2" t="s">
        <v>645</v>
      </c>
    </row>
    <row r="3" spans="1:27" x14ac:dyDescent="0.35">
      <c r="A3" t="s">
        <v>12</v>
      </c>
      <c r="B3" t="s">
        <v>13</v>
      </c>
      <c r="C3" t="str">
        <f>VLOOKUP(B3,patients!$A:$K,2,FALSE)&amp;" "&amp;VLOOKUP('HOSPITAL MANAGEMENT DATA'!B3,patients!$A:$K,3,FALSE)</f>
        <v>Alex Moore</v>
      </c>
      <c r="D3" t="str">
        <f>VLOOKUP(B3,patients!$A:$K,4,FALSE)</f>
        <v>M</v>
      </c>
      <c r="E3" s="1">
        <f>VLOOKUP(B3,patients!$A:$K,5,FALSE)</f>
        <v>29594</v>
      </c>
      <c r="F3">
        <f>VLOOKUP(B3,patients!$A:$K,6,FALSE)</f>
        <v>8102183595</v>
      </c>
      <c r="G3" t="str">
        <f>VLOOKUP(B3,patients!$A:$K,7,FALSE)</f>
        <v>123 Elm St</v>
      </c>
      <c r="H3" s="1">
        <f>VLOOKUP(B3,patients!$A:$K,8,FALSE)</f>
        <v>44471</v>
      </c>
      <c r="I3" t="str">
        <f>VLOOKUP(B3,patients!$A:$K,11,FALSE)</f>
        <v>alex.moore@mail.com</v>
      </c>
      <c r="J3" t="s">
        <v>14</v>
      </c>
      <c r="K3" t="str">
        <f>VLOOKUP(J3,doctors!$A:$H,2,FALSE)&amp;" "&amp;VLOOKUP(J3,doctors!$A:$H,3,FALSE)</f>
        <v>David Jones</v>
      </c>
      <c r="L3" t="str">
        <f>VLOOKUP(J3,doctors!$A:$H,4,FALSE)</f>
        <v>Pediatrics</v>
      </c>
      <c r="M3">
        <f>VLOOKUP(J3,doctors!$A:$H,5,FALSE)</f>
        <v>6594221991</v>
      </c>
      <c r="N3" t="str">
        <f>VLOOKUP(J3,doctors!$A:$H,7,FALSE)</f>
        <v>Central Hospital</v>
      </c>
      <c r="O3" s="1">
        <v>45086</v>
      </c>
      <c r="P3" s="2">
        <v>0.60416666666666663</v>
      </c>
      <c r="Q3" t="s">
        <v>10</v>
      </c>
      <c r="R3" t="s">
        <v>15</v>
      </c>
      <c r="S3" t="s">
        <v>433</v>
      </c>
      <c r="T3" t="s">
        <v>434</v>
      </c>
      <c r="U3" s="3">
        <v>4158.4399999999996</v>
      </c>
      <c r="V3" s="1">
        <v>45086</v>
      </c>
      <c r="W3" t="s">
        <v>646</v>
      </c>
      <c r="X3" s="1">
        <v>45086</v>
      </c>
      <c r="Y3" s="3">
        <v>4158.4399999999996</v>
      </c>
      <c r="Z3" t="s">
        <v>644</v>
      </c>
      <c r="AA3" t="s">
        <v>647</v>
      </c>
    </row>
    <row r="4" spans="1:27" x14ac:dyDescent="0.35">
      <c r="A4" t="s">
        <v>16</v>
      </c>
      <c r="B4" t="s">
        <v>17</v>
      </c>
      <c r="C4" t="str">
        <f>VLOOKUP(B4,patients!$A:$K,2,FALSE)&amp;" "&amp;VLOOKUP('HOSPITAL MANAGEMENT DATA'!B4,patients!$A:$K,3,FALSE)</f>
        <v>Emily Miller</v>
      </c>
      <c r="D4" t="str">
        <f>VLOOKUP(B4,patients!$A:$K,4,FALSE)</f>
        <v>M</v>
      </c>
      <c r="E4" s="1">
        <f>VLOOKUP(B4,patients!$A:$K,5,FALSE)</f>
        <v>30399</v>
      </c>
      <c r="F4">
        <f>VLOOKUP(B4,patients!$A:$K,6,FALSE)</f>
        <v>8720989381</v>
      </c>
      <c r="G4" t="str">
        <f>VLOOKUP(B4,patients!$A:$K,7,FALSE)</f>
        <v>123 Elm St</v>
      </c>
      <c r="H4" s="1">
        <f>VLOOKUP(B4,patients!$A:$K,8,FALSE)</f>
        <v>45096</v>
      </c>
      <c r="I4" t="str">
        <f>VLOOKUP(B4,patients!$A:$K,11,FALSE)</f>
        <v>emily.miller@mail.com</v>
      </c>
      <c r="J4" t="s">
        <v>14</v>
      </c>
      <c r="K4" t="str">
        <f>VLOOKUP(J4,doctors!$A:$H,2,FALSE)&amp;" "&amp;VLOOKUP(J4,doctors!$A:$H,3,FALSE)</f>
        <v>David Jones</v>
      </c>
      <c r="L4" t="str">
        <f>VLOOKUP(J4,doctors!$A:$H,4,FALSE)</f>
        <v>Pediatrics</v>
      </c>
      <c r="M4">
        <f>VLOOKUP(J4,doctors!$A:$H,5,FALSE)</f>
        <v>6594221991</v>
      </c>
      <c r="N4" t="str">
        <f>VLOOKUP(J4,doctors!$A:$H,7,FALSE)</f>
        <v>Central Hospital</v>
      </c>
      <c r="O4" s="1">
        <v>45105</v>
      </c>
      <c r="P4" s="2">
        <v>0.33333333333333331</v>
      </c>
      <c r="Q4" t="s">
        <v>18</v>
      </c>
      <c r="R4" t="s">
        <v>19</v>
      </c>
      <c r="S4" t="s">
        <v>436</v>
      </c>
      <c r="T4" t="s">
        <v>434</v>
      </c>
      <c r="U4" s="3">
        <v>3731.55</v>
      </c>
      <c r="V4" s="1">
        <v>45105</v>
      </c>
      <c r="W4" t="s">
        <v>648</v>
      </c>
      <c r="X4" s="1">
        <v>45105</v>
      </c>
      <c r="Y4" s="3">
        <v>3731.55</v>
      </c>
      <c r="Z4" t="s">
        <v>644</v>
      </c>
      <c r="AA4" t="s">
        <v>647</v>
      </c>
    </row>
    <row r="5" spans="1:27" x14ac:dyDescent="0.35">
      <c r="A5" t="s">
        <v>20</v>
      </c>
      <c r="B5" t="s">
        <v>21</v>
      </c>
      <c r="C5" t="str">
        <f>VLOOKUP(B5,patients!$A:$K,2,FALSE)&amp;" "&amp;VLOOKUP('HOSPITAL MANAGEMENT DATA'!B5,patients!$A:$K,3,FALSE)</f>
        <v>Robert Wilson</v>
      </c>
      <c r="D5" t="str">
        <f>VLOOKUP(B5,patients!$A:$K,4,FALSE)</f>
        <v>M</v>
      </c>
      <c r="E5" s="1">
        <f>VLOOKUP(B5,patients!$A:$K,5,FALSE)</f>
        <v>24333</v>
      </c>
      <c r="F5">
        <f>VLOOKUP(B5,patients!$A:$K,6,FALSE)</f>
        <v>7482069727</v>
      </c>
      <c r="G5" t="str">
        <f>VLOOKUP(B5,patients!$A:$K,7,FALSE)</f>
        <v>123 Elm St</v>
      </c>
      <c r="H5" s="1">
        <f>VLOOKUP(B5,patients!$A:$K,8,FALSE)</f>
        <v>44448</v>
      </c>
      <c r="I5" t="str">
        <f>VLOOKUP(B5,patients!$A:$K,11,FALSE)</f>
        <v>robert.wilson@mail.com</v>
      </c>
      <c r="J5" t="s">
        <v>22</v>
      </c>
      <c r="K5" t="str">
        <f>VLOOKUP(J5,doctors!$A:$H,2,FALSE)&amp;" "&amp;VLOOKUP(J5,doctors!$A:$H,3,FALSE)</f>
        <v>Alex Davis</v>
      </c>
      <c r="L5" t="str">
        <f>VLOOKUP(J5,doctors!$A:$H,4,FALSE)</f>
        <v>Pediatrics</v>
      </c>
      <c r="M5">
        <f>VLOOKUP(J5,doctors!$A:$H,5,FALSE)</f>
        <v>6570137231</v>
      </c>
      <c r="N5" t="str">
        <f>VLOOKUP(J5,doctors!$A:$H,7,FALSE)</f>
        <v>Central Hospital</v>
      </c>
      <c r="O5" s="1">
        <v>45170</v>
      </c>
      <c r="P5" s="2">
        <v>0.38541666666666669</v>
      </c>
      <c r="Q5" t="s">
        <v>18</v>
      </c>
      <c r="R5" t="s">
        <v>19</v>
      </c>
      <c r="S5" t="s">
        <v>438</v>
      </c>
      <c r="T5" t="s">
        <v>434</v>
      </c>
      <c r="U5" s="3">
        <v>4799.8599999999997</v>
      </c>
      <c r="V5" s="1">
        <v>45170</v>
      </c>
      <c r="W5" t="s">
        <v>649</v>
      </c>
      <c r="X5" s="1">
        <v>45170</v>
      </c>
      <c r="Y5" s="3">
        <v>4799.8599999999997</v>
      </c>
      <c r="Z5" t="s">
        <v>644</v>
      </c>
      <c r="AA5" t="s">
        <v>650</v>
      </c>
    </row>
    <row r="6" spans="1:27" x14ac:dyDescent="0.35">
      <c r="A6" t="s">
        <v>23</v>
      </c>
      <c r="B6" t="s">
        <v>24</v>
      </c>
      <c r="C6" t="str">
        <f>VLOOKUP(B6,patients!$A:$K,2,FALSE)&amp;" "&amp;VLOOKUP('HOSPITAL MANAGEMENT DATA'!B6,patients!$A:$K,3,FALSE)</f>
        <v>Emily Williams</v>
      </c>
      <c r="D6" t="str">
        <f>VLOOKUP(B6,patients!$A:$K,4,FALSE)</f>
        <v>M</v>
      </c>
      <c r="E6" s="1">
        <f>VLOOKUP(B6,patients!$A:$K,5,FALSE)</f>
        <v>26449</v>
      </c>
      <c r="F6">
        <f>VLOOKUP(B6,patients!$A:$K,6,FALSE)</f>
        <v>7587653815</v>
      </c>
      <c r="G6" t="str">
        <f>VLOOKUP(B6,patients!$A:$K,7,FALSE)</f>
        <v>456 Oak Ave</v>
      </c>
      <c r="H6" s="1">
        <f>VLOOKUP(B6,patients!$A:$K,8,FALSE)</f>
        <v>44485</v>
      </c>
      <c r="I6" t="str">
        <f>VLOOKUP(B6,patients!$A:$K,11,FALSE)</f>
        <v>emily.williams@mail.com</v>
      </c>
      <c r="J6" t="s">
        <v>25</v>
      </c>
      <c r="K6" t="str">
        <f>VLOOKUP(J6,doctors!$A:$H,2,FALSE)&amp;" "&amp;VLOOKUP(J6,doctors!$A:$H,3,FALSE)</f>
        <v>Jane Smith</v>
      </c>
      <c r="L6" t="str">
        <f>VLOOKUP(J6,doctors!$A:$H,4,FALSE)</f>
        <v>Pediatrics</v>
      </c>
      <c r="M6">
        <f>VLOOKUP(J6,doctors!$A:$H,5,FALSE)</f>
        <v>8737740598</v>
      </c>
      <c r="N6" t="str">
        <f>VLOOKUP(J6,doctors!$A:$H,7,FALSE)</f>
        <v>Eastside Clinic</v>
      </c>
      <c r="O6" s="1">
        <v>45113</v>
      </c>
      <c r="P6" s="2">
        <v>0.53125</v>
      </c>
      <c r="Q6" t="s">
        <v>26</v>
      </c>
      <c r="R6" t="s">
        <v>15</v>
      </c>
      <c r="S6" t="s">
        <v>439</v>
      </c>
      <c r="T6" t="s">
        <v>440</v>
      </c>
      <c r="U6" s="3">
        <v>582.04999999999995</v>
      </c>
      <c r="V6" s="1">
        <v>45113</v>
      </c>
      <c r="W6" t="s">
        <v>651</v>
      </c>
      <c r="X6" s="1">
        <v>45113</v>
      </c>
      <c r="Y6" s="3">
        <v>582.04999999999995</v>
      </c>
      <c r="Z6" t="s">
        <v>652</v>
      </c>
      <c r="AA6" t="s">
        <v>645</v>
      </c>
    </row>
    <row r="7" spans="1:27" x14ac:dyDescent="0.35">
      <c r="A7" t="s">
        <v>27</v>
      </c>
      <c r="B7" t="s">
        <v>28</v>
      </c>
      <c r="C7" t="str">
        <f>VLOOKUP(B7,patients!$A:$K,2,FALSE)&amp;" "&amp;VLOOKUP('HOSPITAL MANAGEMENT DATA'!B7,patients!$A:$K,3,FALSE)</f>
        <v>Linda Miller</v>
      </c>
      <c r="D7" t="str">
        <f>VLOOKUP(B7,patients!$A:$K,4,FALSE)</f>
        <v>F</v>
      </c>
      <c r="E7" s="1">
        <f>VLOOKUP(B7,patients!$A:$K,5,FALSE)</f>
        <v>24222</v>
      </c>
      <c r="F7">
        <f>VLOOKUP(B7,patients!$A:$K,6,FALSE)</f>
        <v>7579616535</v>
      </c>
      <c r="G7" t="str">
        <f>VLOOKUP(B7,patients!$A:$K,7,FALSE)</f>
        <v>321 Maple Dr</v>
      </c>
      <c r="H7" s="1">
        <f>VLOOKUP(B7,patients!$A:$K,8,FALSE)</f>
        <v>44219</v>
      </c>
      <c r="I7" t="str">
        <f>VLOOKUP(B7,patients!$A:$K,11,FALSE)</f>
        <v>linda.miller@mail.com</v>
      </c>
      <c r="J7" t="s">
        <v>22</v>
      </c>
      <c r="K7" t="str">
        <f>VLOOKUP(J7,doctors!$A:$H,2,FALSE)&amp;" "&amp;VLOOKUP(J7,doctors!$A:$H,3,FALSE)</f>
        <v>Alex Davis</v>
      </c>
      <c r="L7" t="str">
        <f>VLOOKUP(J7,doctors!$A:$H,4,FALSE)</f>
        <v>Pediatrics</v>
      </c>
      <c r="M7">
        <f>VLOOKUP(J7,doctors!$A:$H,5,FALSE)</f>
        <v>6570137231</v>
      </c>
      <c r="N7" t="str">
        <f>VLOOKUP(J7,doctors!$A:$H,7,FALSE)</f>
        <v>Central Hospital</v>
      </c>
      <c r="O7" s="1">
        <v>45096</v>
      </c>
      <c r="P7" s="2">
        <v>0.67708333333333337</v>
      </c>
      <c r="Q7" t="s">
        <v>29</v>
      </c>
      <c r="R7" t="s">
        <v>11</v>
      </c>
      <c r="S7" t="s">
        <v>441</v>
      </c>
      <c r="T7" t="s">
        <v>431</v>
      </c>
      <c r="U7" s="3">
        <v>1381</v>
      </c>
      <c r="V7" s="1">
        <v>45096</v>
      </c>
      <c r="W7" t="s">
        <v>653</v>
      </c>
      <c r="X7" s="1">
        <v>45096</v>
      </c>
      <c r="Y7" s="3">
        <v>1381</v>
      </c>
      <c r="Z7" t="s">
        <v>644</v>
      </c>
      <c r="AA7" t="s">
        <v>645</v>
      </c>
    </row>
    <row r="8" spans="1:27" x14ac:dyDescent="0.35">
      <c r="A8" t="s">
        <v>30</v>
      </c>
      <c r="B8" t="s">
        <v>31</v>
      </c>
      <c r="C8" t="str">
        <f>VLOOKUP(B8,patients!$A:$K,2,FALSE)&amp;" "&amp;VLOOKUP('HOSPITAL MANAGEMENT DATA'!B8,patients!$A:$K,3,FALSE)</f>
        <v>David Williams</v>
      </c>
      <c r="D8" t="str">
        <f>VLOOKUP(B8,patients!$A:$K,4,FALSE)</f>
        <v>F</v>
      </c>
      <c r="E8" s="1">
        <f>VLOOKUP(B8,patients!$A:$K,5,FALSE)</f>
        <v>20244</v>
      </c>
      <c r="F8">
        <f>VLOOKUP(B8,patients!$A:$K,6,FALSE)</f>
        <v>6939585183</v>
      </c>
      <c r="G8" t="str">
        <f>VLOOKUP(B8,patients!$A:$K,7,FALSE)</f>
        <v>789 Pine Rd</v>
      </c>
      <c r="H8" s="1">
        <f>VLOOKUP(B8,patients!$A:$K,8,FALSE)</f>
        <v>44735</v>
      </c>
      <c r="I8" t="str">
        <f>VLOOKUP(B8,patients!$A:$K,11,FALSE)</f>
        <v>david.williams@mail.com</v>
      </c>
      <c r="J8" t="s">
        <v>32</v>
      </c>
      <c r="K8" t="str">
        <f>VLOOKUP(J8,doctors!$A:$H,2,FALSE)&amp;" "&amp;VLOOKUP(J8,doctors!$A:$H,3,FALSE)</f>
        <v>Robert Davis</v>
      </c>
      <c r="L8" t="str">
        <f>VLOOKUP(J8,doctors!$A:$H,4,FALSE)</f>
        <v>Oncology</v>
      </c>
      <c r="M8">
        <f>VLOOKUP(J8,doctors!$A:$H,5,FALSE)</f>
        <v>8217493115</v>
      </c>
      <c r="N8" t="str">
        <f>VLOOKUP(J8,doctors!$A:$H,7,FALSE)</f>
        <v>Westside Clinic</v>
      </c>
      <c r="O8" s="1">
        <v>45025</v>
      </c>
      <c r="P8" s="2">
        <v>0.4375</v>
      </c>
      <c r="Q8" t="s">
        <v>18</v>
      </c>
      <c r="R8" t="s">
        <v>11</v>
      </c>
      <c r="S8" t="s">
        <v>442</v>
      </c>
      <c r="T8" t="s">
        <v>431</v>
      </c>
      <c r="U8" s="3">
        <v>534.03</v>
      </c>
      <c r="V8" s="1">
        <v>45025</v>
      </c>
      <c r="W8" t="s">
        <v>654</v>
      </c>
      <c r="X8" s="1">
        <v>45025</v>
      </c>
      <c r="Y8" s="3">
        <v>534.03</v>
      </c>
      <c r="Z8" t="s">
        <v>655</v>
      </c>
      <c r="AA8" t="s">
        <v>650</v>
      </c>
    </row>
    <row r="9" spans="1:27" x14ac:dyDescent="0.35">
      <c r="A9" t="s">
        <v>33</v>
      </c>
      <c r="B9" t="s">
        <v>34</v>
      </c>
      <c r="C9" t="str">
        <f>VLOOKUP(B9,patients!$A:$K,2,FALSE)&amp;" "&amp;VLOOKUP('HOSPITAL MANAGEMENT DATA'!B9,patients!$A:$K,3,FALSE)</f>
        <v>Michael Taylor</v>
      </c>
      <c r="D9" t="str">
        <f>VLOOKUP(B9,patients!$A:$K,4,FALSE)</f>
        <v>M</v>
      </c>
      <c r="E9" s="1">
        <f>VLOOKUP(B9,patients!$A:$K,5,FALSE)</f>
        <v>36729</v>
      </c>
      <c r="F9">
        <f>VLOOKUP(B9,patients!$A:$K,6,FALSE)</f>
        <v>7223380592</v>
      </c>
      <c r="G9" t="str">
        <f>VLOOKUP(B9,patients!$A:$K,7,FALSE)</f>
        <v>789 Pine Rd</v>
      </c>
      <c r="H9" s="1">
        <f>VLOOKUP(B9,patients!$A:$K,8,FALSE)</f>
        <v>44400</v>
      </c>
      <c r="I9" t="str">
        <f>VLOOKUP(B9,patients!$A:$K,11,FALSE)</f>
        <v>michael.taylor@mail.com</v>
      </c>
      <c r="J9" t="s">
        <v>35</v>
      </c>
      <c r="K9" t="str">
        <f>VLOOKUP(J9,doctors!$A:$H,2,FALSE)&amp;" "&amp;VLOOKUP(J9,doctors!$A:$H,3,FALSE)</f>
        <v>Linda Wilson</v>
      </c>
      <c r="L9" t="str">
        <f>VLOOKUP(J9,doctors!$A:$H,4,FALSE)</f>
        <v>Oncology</v>
      </c>
      <c r="M9">
        <f>VLOOKUP(J9,doctors!$A:$H,5,FALSE)</f>
        <v>6176383634</v>
      </c>
      <c r="N9" t="str">
        <f>VLOOKUP(J9,doctors!$A:$H,7,FALSE)</f>
        <v>Eastside Clinic</v>
      </c>
      <c r="O9" s="1">
        <v>45070</v>
      </c>
      <c r="P9" s="2">
        <v>0.36458333333333331</v>
      </c>
      <c r="Q9" t="s">
        <v>18</v>
      </c>
      <c r="R9" t="s">
        <v>19</v>
      </c>
      <c r="S9" t="s">
        <v>443</v>
      </c>
      <c r="T9" t="s">
        <v>444</v>
      </c>
      <c r="U9" s="3">
        <v>3413.64</v>
      </c>
      <c r="V9" s="1">
        <v>45070</v>
      </c>
      <c r="W9" t="s">
        <v>656</v>
      </c>
      <c r="X9" s="1">
        <v>45070</v>
      </c>
      <c r="Y9" s="3">
        <v>3413.64</v>
      </c>
      <c r="Z9" t="s">
        <v>655</v>
      </c>
      <c r="AA9" t="s">
        <v>650</v>
      </c>
    </row>
    <row r="10" spans="1:27" x14ac:dyDescent="0.35">
      <c r="A10" t="s">
        <v>36</v>
      </c>
      <c r="B10" t="s">
        <v>37</v>
      </c>
      <c r="C10" t="str">
        <f>VLOOKUP(B10,patients!$A:$K,2,FALSE)&amp;" "&amp;VLOOKUP('HOSPITAL MANAGEMENT DATA'!B10,patients!$A:$K,3,FALSE)</f>
        <v>Jane Wilson</v>
      </c>
      <c r="D10" t="str">
        <f>VLOOKUP(B10,patients!$A:$K,4,FALSE)</f>
        <v>F</v>
      </c>
      <c r="E10" s="1">
        <f>VLOOKUP(B10,patients!$A:$K,5,FALSE)</f>
        <v>18609</v>
      </c>
      <c r="F10">
        <f>VLOOKUP(B10,patients!$A:$K,6,FALSE)</f>
        <v>9271131338</v>
      </c>
      <c r="G10" t="str">
        <f>VLOOKUP(B10,patients!$A:$K,7,FALSE)</f>
        <v>789 Pine Rd</v>
      </c>
      <c r="H10" s="1">
        <f>VLOOKUP(B10,patients!$A:$K,8,FALSE)</f>
        <v>44264</v>
      </c>
      <c r="I10" t="str">
        <f>VLOOKUP(B10,patients!$A:$K,11,FALSE)</f>
        <v>jane.wilson@mail.com</v>
      </c>
      <c r="J10" t="s">
        <v>35</v>
      </c>
      <c r="K10" t="str">
        <f>VLOOKUP(J10,doctors!$A:$H,2,FALSE)&amp;" "&amp;VLOOKUP(J10,doctors!$A:$H,3,FALSE)</f>
        <v>Linda Wilson</v>
      </c>
      <c r="L10" t="str">
        <f>VLOOKUP(J10,doctors!$A:$H,4,FALSE)</f>
        <v>Oncology</v>
      </c>
      <c r="M10">
        <f>VLOOKUP(J10,doctors!$A:$H,5,FALSE)</f>
        <v>6176383634</v>
      </c>
      <c r="N10" t="str">
        <f>VLOOKUP(J10,doctors!$A:$H,7,FALSE)</f>
        <v>Eastside Clinic</v>
      </c>
      <c r="O10" s="1">
        <v>44990</v>
      </c>
      <c r="P10" s="2">
        <v>0.57291666666666663</v>
      </c>
      <c r="Q10" t="s">
        <v>38</v>
      </c>
      <c r="R10" t="s">
        <v>11</v>
      </c>
      <c r="S10" t="s">
        <v>445</v>
      </c>
      <c r="T10" t="s">
        <v>444</v>
      </c>
      <c r="U10" s="3">
        <v>4541.1400000000003</v>
      </c>
      <c r="V10" s="1">
        <v>44990</v>
      </c>
      <c r="W10" t="s">
        <v>657</v>
      </c>
      <c r="X10" s="1">
        <v>44990</v>
      </c>
      <c r="Y10" s="3">
        <v>4541.1400000000003</v>
      </c>
      <c r="Z10" t="s">
        <v>652</v>
      </c>
      <c r="AA10" t="s">
        <v>647</v>
      </c>
    </row>
    <row r="11" spans="1:27" x14ac:dyDescent="0.35">
      <c r="A11" t="s">
        <v>39</v>
      </c>
      <c r="B11" t="s">
        <v>40</v>
      </c>
      <c r="C11" t="str">
        <f>VLOOKUP(B11,patients!$A:$K,2,FALSE)&amp;" "&amp;VLOOKUP('HOSPITAL MANAGEMENT DATA'!B11,patients!$A:$K,3,FALSE)</f>
        <v>David Wilson</v>
      </c>
      <c r="D11" t="str">
        <f>VLOOKUP(B11,patients!$A:$K,4,FALSE)</f>
        <v>M</v>
      </c>
      <c r="E11" s="1">
        <f>VLOOKUP(B11,patients!$A:$K,5,FALSE)</f>
        <v>22090</v>
      </c>
      <c r="F11">
        <f>VLOOKUP(B11,patients!$A:$K,6,FALSE)</f>
        <v>7734463155</v>
      </c>
      <c r="G11" t="str">
        <f>VLOOKUP(B11,patients!$A:$K,7,FALSE)</f>
        <v>123 Elm St</v>
      </c>
      <c r="H11" s="1">
        <f>VLOOKUP(B11,patients!$A:$K,8,FALSE)</f>
        <v>44468</v>
      </c>
      <c r="I11" t="str">
        <f>VLOOKUP(B11,patients!$A:$K,11,FALSE)</f>
        <v>david.wilson@mail.com</v>
      </c>
      <c r="J11" t="s">
        <v>25</v>
      </c>
      <c r="K11" t="str">
        <f>VLOOKUP(J11,doctors!$A:$H,2,FALSE)&amp;" "&amp;VLOOKUP(J11,doctors!$A:$H,3,FALSE)</f>
        <v>Jane Smith</v>
      </c>
      <c r="L11" t="str">
        <f>VLOOKUP(J11,doctors!$A:$H,4,FALSE)</f>
        <v>Pediatrics</v>
      </c>
      <c r="M11">
        <f>VLOOKUP(J11,doctors!$A:$H,5,FALSE)</f>
        <v>8737740598</v>
      </c>
      <c r="N11" t="str">
        <f>VLOOKUP(J11,doctors!$A:$H,7,FALSE)</f>
        <v>Eastside Clinic</v>
      </c>
      <c r="O11" s="1">
        <v>44939</v>
      </c>
      <c r="P11" s="2">
        <v>0.64583333333333337</v>
      </c>
      <c r="Q11" t="s">
        <v>10</v>
      </c>
      <c r="R11" t="s">
        <v>41</v>
      </c>
      <c r="S11" t="s">
        <v>446</v>
      </c>
      <c r="T11" t="s">
        <v>444</v>
      </c>
      <c r="U11" s="3">
        <v>1595.67</v>
      </c>
      <c r="V11" s="1">
        <v>44939</v>
      </c>
      <c r="W11" t="s">
        <v>658</v>
      </c>
      <c r="X11" s="1">
        <v>44939</v>
      </c>
      <c r="Y11" s="3">
        <v>1595.67</v>
      </c>
      <c r="Z11" t="s">
        <v>655</v>
      </c>
      <c r="AA11" t="s">
        <v>647</v>
      </c>
    </row>
    <row r="12" spans="1:27" x14ac:dyDescent="0.35">
      <c r="A12" t="s">
        <v>42</v>
      </c>
      <c r="B12" t="s">
        <v>43</v>
      </c>
      <c r="C12" t="str">
        <f>VLOOKUP(B12,patients!$A:$K,2,FALSE)&amp;" "&amp;VLOOKUP('HOSPITAL MANAGEMENT DATA'!B12,patients!$A:$K,3,FALSE)</f>
        <v>John Brown</v>
      </c>
      <c r="D12" t="str">
        <f>VLOOKUP(B12,patients!$A:$K,4,FALSE)</f>
        <v>M</v>
      </c>
      <c r="E12" s="1">
        <f>VLOOKUP(B12,patients!$A:$K,5,FALSE)</f>
        <v>20219</v>
      </c>
      <c r="F12">
        <f>VLOOKUP(B12,patients!$A:$K,6,FALSE)</f>
        <v>6221099573</v>
      </c>
      <c r="G12" t="str">
        <f>VLOOKUP(B12,patients!$A:$K,7,FALSE)</f>
        <v>321 Maple Dr</v>
      </c>
      <c r="H12" s="1">
        <f>VLOOKUP(B12,patients!$A:$K,8,FALSE)</f>
        <v>44327</v>
      </c>
      <c r="I12" t="str">
        <f>VLOOKUP(B12,patients!$A:$K,11,FALSE)</f>
        <v>john.brown@mail.com</v>
      </c>
      <c r="J12" t="s">
        <v>32</v>
      </c>
      <c r="K12" t="str">
        <f>VLOOKUP(J12,doctors!$A:$H,2,FALSE)&amp;" "&amp;VLOOKUP(J12,doctors!$A:$H,3,FALSE)</f>
        <v>Robert Davis</v>
      </c>
      <c r="L12" t="str">
        <f>VLOOKUP(J12,doctors!$A:$H,4,FALSE)</f>
        <v>Oncology</v>
      </c>
      <c r="M12">
        <f>VLOOKUP(J12,doctors!$A:$H,5,FALSE)</f>
        <v>8217493115</v>
      </c>
      <c r="N12" t="str">
        <f>VLOOKUP(J12,doctors!$A:$H,7,FALSE)</f>
        <v>Westside Clinic</v>
      </c>
      <c r="O12" s="1">
        <v>45242</v>
      </c>
      <c r="P12" s="2">
        <v>0.66666666666666663</v>
      </c>
      <c r="Q12" t="s">
        <v>29</v>
      </c>
      <c r="R12" t="s">
        <v>15</v>
      </c>
      <c r="S12" t="s">
        <v>447</v>
      </c>
      <c r="T12" t="s">
        <v>434</v>
      </c>
      <c r="U12" s="3">
        <v>4671.66</v>
      </c>
      <c r="V12" s="1">
        <v>45242</v>
      </c>
      <c r="W12" t="s">
        <v>659</v>
      </c>
      <c r="X12" s="1">
        <v>45242</v>
      </c>
      <c r="Y12" s="3">
        <v>4671.66</v>
      </c>
      <c r="Z12" t="s">
        <v>655</v>
      </c>
      <c r="AA12" t="s">
        <v>650</v>
      </c>
    </row>
    <row r="13" spans="1:27" x14ac:dyDescent="0.35">
      <c r="A13" t="s">
        <v>44</v>
      </c>
      <c r="B13" t="s">
        <v>45</v>
      </c>
      <c r="C13" t="str">
        <f>VLOOKUP(B13,patients!$A:$K,2,FALSE)&amp;" "&amp;VLOOKUP('HOSPITAL MANAGEMENT DATA'!B13,patients!$A:$K,3,FALSE)</f>
        <v>David Smith</v>
      </c>
      <c r="D13" t="str">
        <f>VLOOKUP(B13,patients!$A:$K,4,FALSE)</f>
        <v>M</v>
      </c>
      <c r="E13" s="1">
        <f>VLOOKUP(B13,patients!$A:$K,5,FALSE)</f>
        <v>38487</v>
      </c>
      <c r="F13">
        <f>VLOOKUP(B13,patients!$A:$K,6,FALSE)</f>
        <v>8923607677</v>
      </c>
      <c r="G13" t="str">
        <f>VLOOKUP(B13,patients!$A:$K,7,FALSE)</f>
        <v>789 Pine Rd</v>
      </c>
      <c r="H13" s="1">
        <f>VLOOKUP(B13,patients!$A:$K,8,FALSE)</f>
        <v>45035</v>
      </c>
      <c r="I13" t="str">
        <f>VLOOKUP(B13,patients!$A:$K,11,FALSE)</f>
        <v>david.smith@mail.com</v>
      </c>
      <c r="J13" t="s">
        <v>25</v>
      </c>
      <c r="K13" t="str">
        <f>VLOOKUP(J13,doctors!$A:$H,2,FALSE)&amp;" "&amp;VLOOKUP(J13,doctors!$A:$H,3,FALSE)</f>
        <v>Jane Smith</v>
      </c>
      <c r="L13" t="str">
        <f>VLOOKUP(J13,doctors!$A:$H,4,FALSE)</f>
        <v>Pediatrics</v>
      </c>
      <c r="M13">
        <f>VLOOKUP(J13,doctors!$A:$H,5,FALSE)</f>
        <v>8737740598</v>
      </c>
      <c r="N13" t="str">
        <f>VLOOKUP(J13,doctors!$A:$H,7,FALSE)</f>
        <v>Eastside Clinic</v>
      </c>
      <c r="O13" s="1">
        <v>45053</v>
      </c>
      <c r="P13" s="2">
        <v>0.41666666666666669</v>
      </c>
      <c r="Q13" t="s">
        <v>38</v>
      </c>
      <c r="R13" t="s">
        <v>41</v>
      </c>
      <c r="S13" t="s">
        <v>448</v>
      </c>
      <c r="T13" t="s">
        <v>431</v>
      </c>
      <c r="U13" s="3">
        <v>771.2</v>
      </c>
      <c r="V13" s="1">
        <v>45053</v>
      </c>
      <c r="W13" t="s">
        <v>660</v>
      </c>
      <c r="X13" s="1">
        <v>45053</v>
      </c>
      <c r="Y13" s="3">
        <v>771.2</v>
      </c>
      <c r="Z13" t="s">
        <v>644</v>
      </c>
      <c r="AA13" t="s">
        <v>645</v>
      </c>
    </row>
    <row r="14" spans="1:27" x14ac:dyDescent="0.35">
      <c r="A14" t="s">
        <v>46</v>
      </c>
      <c r="B14" t="s">
        <v>47</v>
      </c>
      <c r="C14" t="str">
        <f>VLOOKUP(B14,patients!$A:$K,2,FALSE)&amp;" "&amp;VLOOKUP('HOSPITAL MANAGEMENT DATA'!B14,patients!$A:$K,3,FALSE)</f>
        <v>Laura Jones</v>
      </c>
      <c r="D14" t="str">
        <f>VLOOKUP(B14,patients!$A:$K,4,FALSE)</f>
        <v>M</v>
      </c>
      <c r="E14" s="1">
        <f>VLOOKUP(B14,patients!$A:$K,5,FALSE)</f>
        <v>28358</v>
      </c>
      <c r="F14">
        <f>VLOOKUP(B14,patients!$A:$K,6,FALSE)</f>
        <v>8397029847</v>
      </c>
      <c r="G14" t="str">
        <f>VLOOKUP(B14,patients!$A:$K,7,FALSE)</f>
        <v>321 Maple Dr</v>
      </c>
      <c r="H14" s="1">
        <f>VLOOKUP(B14,patients!$A:$K,8,FALSE)</f>
        <v>44599</v>
      </c>
      <c r="I14" t="str">
        <f>VLOOKUP(B14,patients!$A:$K,11,FALSE)</f>
        <v>laura.jones@mail.com</v>
      </c>
      <c r="J14" t="s">
        <v>48</v>
      </c>
      <c r="K14" t="str">
        <f>VLOOKUP(J14,doctors!$A:$H,2,FALSE)&amp;" "&amp;VLOOKUP(J14,doctors!$A:$H,3,FALSE)</f>
        <v>Jane Davis</v>
      </c>
      <c r="L14" t="str">
        <f>VLOOKUP(J14,doctors!$A:$H,4,FALSE)</f>
        <v>Pediatrics</v>
      </c>
      <c r="M14">
        <f>VLOOKUP(J14,doctors!$A:$H,5,FALSE)</f>
        <v>9004382050</v>
      </c>
      <c r="N14" t="str">
        <f>VLOOKUP(J14,doctors!$A:$H,7,FALSE)</f>
        <v>Eastside Clinic</v>
      </c>
      <c r="O14" s="1">
        <v>45154</v>
      </c>
      <c r="P14" s="2">
        <v>0.5</v>
      </c>
      <c r="Q14" t="s">
        <v>26</v>
      </c>
      <c r="R14" t="s">
        <v>11</v>
      </c>
      <c r="S14" t="s">
        <v>449</v>
      </c>
      <c r="T14" t="s">
        <v>434</v>
      </c>
      <c r="U14" s="3">
        <v>4704.96</v>
      </c>
      <c r="V14" s="1">
        <v>45154</v>
      </c>
      <c r="W14" t="s">
        <v>661</v>
      </c>
      <c r="X14" s="1">
        <v>45154</v>
      </c>
      <c r="Y14" s="3">
        <v>4704.96</v>
      </c>
      <c r="Z14" t="s">
        <v>655</v>
      </c>
      <c r="AA14" t="s">
        <v>647</v>
      </c>
    </row>
    <row r="15" spans="1:27" x14ac:dyDescent="0.35">
      <c r="A15" t="s">
        <v>49</v>
      </c>
      <c r="B15" t="s">
        <v>50</v>
      </c>
      <c r="C15" t="str">
        <f>VLOOKUP(B15,patients!$A:$K,2,FALSE)&amp;" "&amp;VLOOKUP('HOSPITAL MANAGEMENT DATA'!B15,patients!$A:$K,3,FALSE)</f>
        <v>Laura Davis</v>
      </c>
      <c r="D15" t="str">
        <f>VLOOKUP(B15,patients!$A:$K,4,FALSE)</f>
        <v>F</v>
      </c>
      <c r="E15" s="1">
        <f>VLOOKUP(B15,patients!$A:$K,5,FALSE)</f>
        <v>33580</v>
      </c>
      <c r="F15">
        <f>VLOOKUP(B15,patients!$A:$K,6,FALSE)</f>
        <v>8135666049</v>
      </c>
      <c r="G15" t="str">
        <f>VLOOKUP(B15,patients!$A:$K,7,FALSE)</f>
        <v>321 Maple Dr</v>
      </c>
      <c r="H15" s="1">
        <f>VLOOKUP(B15,patients!$A:$K,8,FALSE)</f>
        <v>45043</v>
      </c>
      <c r="I15" t="str">
        <f>VLOOKUP(B15,patients!$A:$K,11,FALSE)</f>
        <v>laura.davis@mail.com</v>
      </c>
      <c r="J15" t="s">
        <v>35</v>
      </c>
      <c r="K15" t="str">
        <f>VLOOKUP(J15,doctors!$A:$H,2,FALSE)&amp;" "&amp;VLOOKUP(J15,doctors!$A:$H,3,FALSE)</f>
        <v>Linda Wilson</v>
      </c>
      <c r="L15" t="str">
        <f>VLOOKUP(J15,doctors!$A:$H,4,FALSE)</f>
        <v>Oncology</v>
      </c>
      <c r="M15">
        <f>VLOOKUP(J15,doctors!$A:$H,5,FALSE)</f>
        <v>6176383634</v>
      </c>
      <c r="N15" t="str">
        <f>VLOOKUP(J15,doctors!$A:$H,7,FALSE)</f>
        <v>Eastside Clinic</v>
      </c>
      <c r="O15" s="1">
        <v>45071</v>
      </c>
      <c r="P15" s="2">
        <v>0.4375</v>
      </c>
      <c r="Q15" t="s">
        <v>26</v>
      </c>
      <c r="R15" t="s">
        <v>19</v>
      </c>
      <c r="S15" t="s">
        <v>450</v>
      </c>
      <c r="T15" t="s">
        <v>440</v>
      </c>
      <c r="U15" s="3">
        <v>2082.3000000000002</v>
      </c>
      <c r="V15" s="1">
        <v>45071</v>
      </c>
      <c r="W15" t="s">
        <v>662</v>
      </c>
      <c r="X15" s="1">
        <v>45071</v>
      </c>
      <c r="Y15" s="3">
        <v>2082.3000000000002</v>
      </c>
      <c r="Z15" t="s">
        <v>652</v>
      </c>
      <c r="AA15" t="s">
        <v>647</v>
      </c>
    </row>
    <row r="16" spans="1:27" x14ac:dyDescent="0.35">
      <c r="A16" t="s">
        <v>51</v>
      </c>
      <c r="B16" t="s">
        <v>52</v>
      </c>
      <c r="C16" t="str">
        <f>VLOOKUP(B16,patients!$A:$K,2,FALSE)&amp;" "&amp;VLOOKUP('HOSPITAL MANAGEMENT DATA'!B16,patients!$A:$K,3,FALSE)</f>
        <v>John Taylor</v>
      </c>
      <c r="D16" t="str">
        <f>VLOOKUP(B16,patients!$A:$K,4,FALSE)</f>
        <v>M</v>
      </c>
      <c r="E16" s="1">
        <f>VLOOKUP(B16,patients!$A:$K,5,FALSE)</f>
        <v>37953</v>
      </c>
      <c r="F16">
        <f>VLOOKUP(B16,patients!$A:$K,6,FALSE)</f>
        <v>9900972256</v>
      </c>
      <c r="G16" t="str">
        <f>VLOOKUP(B16,patients!$A:$K,7,FALSE)</f>
        <v>123 Elm St</v>
      </c>
      <c r="H16" s="1">
        <f>VLOOKUP(B16,patients!$A:$K,8,FALSE)</f>
        <v>44329</v>
      </c>
      <c r="I16" t="str">
        <f>VLOOKUP(B16,patients!$A:$K,11,FALSE)</f>
        <v>john.taylor@mail.com</v>
      </c>
      <c r="J16" t="s">
        <v>14</v>
      </c>
      <c r="K16" t="str">
        <f>VLOOKUP(J16,doctors!$A:$H,2,FALSE)&amp;" "&amp;VLOOKUP(J16,doctors!$A:$H,3,FALSE)</f>
        <v>David Jones</v>
      </c>
      <c r="L16" t="str">
        <f>VLOOKUP(J16,doctors!$A:$H,4,FALSE)</f>
        <v>Pediatrics</v>
      </c>
      <c r="M16">
        <f>VLOOKUP(J16,doctors!$A:$H,5,FALSE)</f>
        <v>6594221991</v>
      </c>
      <c r="N16" t="str">
        <f>VLOOKUP(J16,doctors!$A:$H,7,FALSE)</f>
        <v>Central Hospital</v>
      </c>
      <c r="O16" s="1">
        <v>44941</v>
      </c>
      <c r="P16" s="2">
        <v>0.71875</v>
      </c>
      <c r="Q16" t="s">
        <v>18</v>
      </c>
      <c r="R16" t="s">
        <v>15</v>
      </c>
      <c r="S16" t="s">
        <v>451</v>
      </c>
      <c r="T16" t="s">
        <v>444</v>
      </c>
      <c r="U16" s="3">
        <v>956.39</v>
      </c>
      <c r="V16" s="1">
        <v>44941</v>
      </c>
      <c r="W16" t="s">
        <v>663</v>
      </c>
      <c r="X16" s="1">
        <v>44941</v>
      </c>
      <c r="Y16" s="3">
        <v>956.39</v>
      </c>
      <c r="Z16" t="s">
        <v>644</v>
      </c>
      <c r="AA16" t="s">
        <v>645</v>
      </c>
    </row>
    <row r="17" spans="1:27" x14ac:dyDescent="0.35">
      <c r="A17" t="s">
        <v>53</v>
      </c>
      <c r="B17" t="s">
        <v>34</v>
      </c>
      <c r="C17" t="str">
        <f>VLOOKUP(B17,patients!$A:$K,2,FALSE)&amp;" "&amp;VLOOKUP('HOSPITAL MANAGEMENT DATA'!B17,patients!$A:$K,3,FALSE)</f>
        <v>Michael Taylor</v>
      </c>
      <c r="D17" t="str">
        <f>VLOOKUP(B17,patients!$A:$K,4,FALSE)</f>
        <v>M</v>
      </c>
      <c r="E17" s="1">
        <f>VLOOKUP(B17,patients!$A:$K,5,FALSE)</f>
        <v>36729</v>
      </c>
      <c r="F17">
        <f>VLOOKUP(B17,patients!$A:$K,6,FALSE)</f>
        <v>7223380592</v>
      </c>
      <c r="G17" t="str">
        <f>VLOOKUP(B17,patients!$A:$K,7,FALSE)</f>
        <v>789 Pine Rd</v>
      </c>
      <c r="H17" s="1">
        <f>VLOOKUP(B17,patients!$A:$K,8,FALSE)</f>
        <v>44400</v>
      </c>
      <c r="I17" t="str">
        <f>VLOOKUP(B17,patients!$A:$K,11,FALSE)</f>
        <v>michael.taylor@mail.com</v>
      </c>
      <c r="J17" t="s">
        <v>54</v>
      </c>
      <c r="K17" t="str">
        <f>VLOOKUP(J17,doctors!$A:$H,2,FALSE)&amp;" "&amp;VLOOKUP(J17,doctors!$A:$H,3,FALSE)</f>
        <v>Linda Brown</v>
      </c>
      <c r="L17" t="str">
        <f>VLOOKUP(J17,doctors!$A:$H,4,FALSE)</f>
        <v>Dermatology</v>
      </c>
      <c r="M17">
        <f>VLOOKUP(J17,doctors!$A:$H,5,FALSE)</f>
        <v>9069162601</v>
      </c>
      <c r="N17" t="str">
        <f>VLOOKUP(J17,doctors!$A:$H,7,FALSE)</f>
        <v>Westside Clinic</v>
      </c>
      <c r="O17" s="1">
        <v>45107</v>
      </c>
      <c r="P17" s="2">
        <v>0.45833333333333331</v>
      </c>
      <c r="Q17" t="s">
        <v>18</v>
      </c>
      <c r="R17" t="s">
        <v>11</v>
      </c>
      <c r="S17" t="s">
        <v>452</v>
      </c>
      <c r="T17" t="s">
        <v>434</v>
      </c>
      <c r="U17" s="3">
        <v>2686.42</v>
      </c>
      <c r="V17" s="1">
        <v>45107</v>
      </c>
      <c r="W17" t="s">
        <v>664</v>
      </c>
      <c r="X17" s="1">
        <v>45107</v>
      </c>
      <c r="Y17" s="3">
        <v>2686.42</v>
      </c>
      <c r="Z17" t="s">
        <v>644</v>
      </c>
      <c r="AA17" t="s">
        <v>647</v>
      </c>
    </row>
    <row r="18" spans="1:27" x14ac:dyDescent="0.35">
      <c r="A18" t="s">
        <v>55</v>
      </c>
      <c r="B18" t="s">
        <v>56</v>
      </c>
      <c r="C18" t="str">
        <f>VLOOKUP(B18,patients!$A:$K,2,FALSE)&amp;" "&amp;VLOOKUP('HOSPITAL MANAGEMENT DATA'!B18,patients!$A:$K,3,FALSE)</f>
        <v>Robert Williams</v>
      </c>
      <c r="D18" t="str">
        <f>VLOOKUP(B18,patients!$A:$K,4,FALSE)</f>
        <v>M</v>
      </c>
      <c r="E18" s="1">
        <f>VLOOKUP(B18,patients!$A:$K,5,FALSE)</f>
        <v>36196</v>
      </c>
      <c r="F18">
        <f>VLOOKUP(B18,patients!$A:$K,6,FALSE)</f>
        <v>8886800195</v>
      </c>
      <c r="G18" t="str">
        <f>VLOOKUP(B18,patients!$A:$K,7,FALSE)</f>
        <v>456 Oak Ave</v>
      </c>
      <c r="H18" s="1">
        <f>VLOOKUP(B18,patients!$A:$K,8,FALSE)</f>
        <v>44469</v>
      </c>
      <c r="I18" t="str">
        <f>VLOOKUP(B18,patients!$A:$K,11,FALSE)</f>
        <v>robert.williams@mail.com</v>
      </c>
      <c r="J18" t="s">
        <v>9</v>
      </c>
      <c r="K18" t="str">
        <f>VLOOKUP(J18,doctors!$A:$H,2,FALSE)&amp;" "&amp;VLOOKUP(J18,doctors!$A:$H,3,FALSE)</f>
        <v>Sarah Smith</v>
      </c>
      <c r="L18" t="str">
        <f>VLOOKUP(J18,doctors!$A:$H,4,FALSE)</f>
        <v>Pediatrics</v>
      </c>
      <c r="M18">
        <f>VLOOKUP(J18,doctors!$A:$H,5,FALSE)</f>
        <v>7387087517</v>
      </c>
      <c r="N18" t="str">
        <f>VLOOKUP(J18,doctors!$A:$H,7,FALSE)</f>
        <v>Central Hospital</v>
      </c>
      <c r="O18" s="1">
        <v>45118</v>
      </c>
      <c r="P18" s="2">
        <v>0.70833333333333337</v>
      </c>
      <c r="Q18" t="s">
        <v>26</v>
      </c>
      <c r="R18" t="s">
        <v>11</v>
      </c>
      <c r="S18" t="s">
        <v>453</v>
      </c>
      <c r="T18" t="s">
        <v>434</v>
      </c>
      <c r="U18" s="3">
        <v>1655.49</v>
      </c>
      <c r="V18" s="1">
        <v>45118</v>
      </c>
      <c r="W18" t="s">
        <v>665</v>
      </c>
      <c r="X18" s="1">
        <v>45118</v>
      </c>
      <c r="Y18" s="3">
        <v>1655.49</v>
      </c>
      <c r="Z18" t="s">
        <v>652</v>
      </c>
      <c r="AA18" t="s">
        <v>645</v>
      </c>
    </row>
    <row r="19" spans="1:27" x14ac:dyDescent="0.35">
      <c r="A19" t="s">
        <v>57</v>
      </c>
      <c r="B19" t="s">
        <v>43</v>
      </c>
      <c r="C19" t="str">
        <f>VLOOKUP(B19,patients!$A:$K,2,FALSE)&amp;" "&amp;VLOOKUP('HOSPITAL MANAGEMENT DATA'!B19,patients!$A:$K,3,FALSE)</f>
        <v>John Brown</v>
      </c>
      <c r="D19" t="str">
        <f>VLOOKUP(B19,patients!$A:$K,4,FALSE)</f>
        <v>M</v>
      </c>
      <c r="E19" s="1">
        <f>VLOOKUP(B19,patients!$A:$K,5,FALSE)</f>
        <v>20219</v>
      </c>
      <c r="F19">
        <f>VLOOKUP(B19,patients!$A:$K,6,FALSE)</f>
        <v>6221099573</v>
      </c>
      <c r="G19" t="str">
        <f>VLOOKUP(B19,patients!$A:$K,7,FALSE)</f>
        <v>321 Maple Dr</v>
      </c>
      <c r="H19" s="1">
        <f>VLOOKUP(B19,patients!$A:$K,8,FALSE)</f>
        <v>44327</v>
      </c>
      <c r="I19" t="str">
        <f>VLOOKUP(B19,patients!$A:$K,11,FALSE)</f>
        <v>john.brown@mail.com</v>
      </c>
      <c r="J19" t="s">
        <v>32</v>
      </c>
      <c r="K19" t="str">
        <f>VLOOKUP(J19,doctors!$A:$H,2,FALSE)&amp;" "&amp;VLOOKUP(J19,doctors!$A:$H,3,FALSE)</f>
        <v>Robert Davis</v>
      </c>
      <c r="L19" t="str">
        <f>VLOOKUP(J19,doctors!$A:$H,4,FALSE)</f>
        <v>Oncology</v>
      </c>
      <c r="M19">
        <f>VLOOKUP(J19,doctors!$A:$H,5,FALSE)</f>
        <v>8217493115</v>
      </c>
      <c r="N19" t="str">
        <f>VLOOKUP(J19,doctors!$A:$H,7,FALSE)</f>
        <v>Westside Clinic</v>
      </c>
      <c r="O19" s="1">
        <v>45244</v>
      </c>
      <c r="P19" s="2">
        <v>0.40625</v>
      </c>
      <c r="Q19" t="s">
        <v>18</v>
      </c>
      <c r="R19" t="s">
        <v>19</v>
      </c>
      <c r="S19" t="s">
        <v>454</v>
      </c>
      <c r="T19" t="s">
        <v>440</v>
      </c>
      <c r="U19" s="3">
        <v>1781.93</v>
      </c>
      <c r="V19" s="1">
        <v>45244</v>
      </c>
      <c r="W19" t="s">
        <v>666</v>
      </c>
      <c r="X19" s="1">
        <v>45244</v>
      </c>
      <c r="Y19" s="3">
        <v>1781.93</v>
      </c>
      <c r="Z19" t="s">
        <v>644</v>
      </c>
      <c r="AA19" t="s">
        <v>645</v>
      </c>
    </row>
    <row r="20" spans="1:27" x14ac:dyDescent="0.35">
      <c r="A20" t="s">
        <v>58</v>
      </c>
      <c r="B20" t="s">
        <v>45</v>
      </c>
      <c r="C20" t="str">
        <f>K4</f>
        <v>David Jones</v>
      </c>
      <c r="D20" t="str">
        <f>VLOOKUP(B20,patients!$A:$K,4,FALSE)</f>
        <v>M</v>
      </c>
      <c r="E20" s="1">
        <f>VLOOKUP(B20,patients!$A:$K,5,FALSE)</f>
        <v>38487</v>
      </c>
      <c r="F20">
        <f>VLOOKUP(B20,patients!$A:$K,6,FALSE)</f>
        <v>8923607677</v>
      </c>
      <c r="G20" t="str">
        <f>VLOOKUP(B20,patients!$A:$K,7,FALSE)</f>
        <v>789 Pine Rd</v>
      </c>
      <c r="H20" s="1">
        <f>VLOOKUP(B20,patients!$A:$K,8,FALSE)</f>
        <v>45035</v>
      </c>
      <c r="I20" t="str">
        <f>VLOOKUP(B20,patients!$A:$K,11,FALSE)</f>
        <v>david.smith@mail.com</v>
      </c>
      <c r="J20" t="s">
        <v>59</v>
      </c>
      <c r="K20" t="str">
        <f>VLOOKUP(J20,doctors!$A:$H,2,FALSE)&amp;" "&amp;VLOOKUP(J20,doctors!$A:$H,3,FALSE)</f>
        <v>David Taylor</v>
      </c>
      <c r="L20" t="str">
        <f>VLOOKUP(J20,doctors!$A:$H,4,FALSE)</f>
        <v>Dermatology</v>
      </c>
      <c r="M20">
        <f>VLOOKUP(J20,doctors!$A:$H,5,FALSE)</f>
        <v>8322010158</v>
      </c>
      <c r="N20" t="str">
        <f>VLOOKUP(J20,doctors!$A:$H,7,FALSE)</f>
        <v>Westside Clinic</v>
      </c>
      <c r="O20" s="1">
        <v>44963</v>
      </c>
      <c r="P20" s="2">
        <v>0.64583333333333337</v>
      </c>
      <c r="Q20" t="s">
        <v>29</v>
      </c>
      <c r="R20" t="s">
        <v>19</v>
      </c>
      <c r="S20" t="s">
        <v>455</v>
      </c>
      <c r="T20" t="s">
        <v>456</v>
      </c>
      <c r="U20" s="3">
        <v>1882.8</v>
      </c>
      <c r="V20" s="1">
        <v>44963</v>
      </c>
      <c r="W20" t="s">
        <v>667</v>
      </c>
      <c r="X20" s="1">
        <v>44963</v>
      </c>
      <c r="Y20" s="3">
        <v>1882.8</v>
      </c>
      <c r="Z20" t="s">
        <v>644</v>
      </c>
      <c r="AA20" t="s">
        <v>645</v>
      </c>
    </row>
    <row r="21" spans="1:27" x14ac:dyDescent="0.35">
      <c r="A21" t="s">
        <v>60</v>
      </c>
      <c r="B21" t="s">
        <v>61</v>
      </c>
      <c r="C21" t="str">
        <f>VLOOKUP(B21,patients!$A:$K,2,FALSE)&amp;" "&amp;VLOOKUP('HOSPITAL MANAGEMENT DATA'!B21,patients!$A:$K,3,FALSE)</f>
        <v>Alex Taylor</v>
      </c>
      <c r="D21" t="str">
        <f>VLOOKUP(B21,patients!$A:$K,4,FALSE)</f>
        <v>M</v>
      </c>
      <c r="E21" s="1">
        <f>VLOOKUP(B21,patients!$A:$K,5,FALSE)</f>
        <v>24895</v>
      </c>
      <c r="F21">
        <f>VLOOKUP(B21,patients!$A:$K,6,FALSE)</f>
        <v>7292262512</v>
      </c>
      <c r="G21" t="str">
        <f>VLOOKUP(B21,patients!$A:$K,7,FALSE)</f>
        <v>789 Pine Rd</v>
      </c>
      <c r="H21" s="1">
        <f>VLOOKUP(B21,patients!$A:$K,8,FALSE)</f>
        <v>45272</v>
      </c>
      <c r="I21" t="str">
        <f>VLOOKUP(B21,patients!$A:$K,11,FALSE)</f>
        <v>alex.taylor@mail.com</v>
      </c>
      <c r="J21" t="s">
        <v>25</v>
      </c>
      <c r="K21" t="str">
        <f>VLOOKUP(J21,doctors!$A:$H,2,FALSE)&amp;" "&amp;VLOOKUP(J21,doctors!$A:$H,3,FALSE)</f>
        <v>Jane Smith</v>
      </c>
      <c r="L21" t="str">
        <f>VLOOKUP(J21,doctors!$A:$H,4,FALSE)</f>
        <v>Pediatrics</v>
      </c>
      <c r="M21">
        <f>VLOOKUP(J21,doctors!$A:$H,5,FALSE)</f>
        <v>8737740598</v>
      </c>
      <c r="N21" t="str">
        <f>VLOOKUP(J21,doctors!$A:$H,7,FALSE)</f>
        <v>Eastside Clinic</v>
      </c>
      <c r="O21" s="1">
        <v>45265</v>
      </c>
      <c r="P21" s="2">
        <v>0.63541666666666663</v>
      </c>
      <c r="Q21" t="s">
        <v>18</v>
      </c>
      <c r="R21" t="s">
        <v>41</v>
      </c>
      <c r="S21" t="s">
        <v>457</v>
      </c>
      <c r="T21" t="s">
        <v>431</v>
      </c>
      <c r="U21" s="3">
        <v>4113.62</v>
      </c>
      <c r="V21" s="1">
        <v>45265</v>
      </c>
      <c r="W21" t="s">
        <v>668</v>
      </c>
      <c r="X21" s="1">
        <v>45265</v>
      </c>
      <c r="Y21" s="3">
        <v>4113.62</v>
      </c>
      <c r="Z21" t="s">
        <v>652</v>
      </c>
      <c r="AA21" t="s">
        <v>650</v>
      </c>
    </row>
    <row r="22" spans="1:27" x14ac:dyDescent="0.35">
      <c r="A22" t="s">
        <v>62</v>
      </c>
      <c r="B22" t="s">
        <v>63</v>
      </c>
      <c r="C22" t="str">
        <f>VLOOKUP(B22,patients!$A:$K,2,FALSE)&amp;" "&amp;VLOOKUP('HOSPITAL MANAGEMENT DATA'!B22,patients!$A:$K,3,FALSE)</f>
        <v>Alex Moore</v>
      </c>
      <c r="D22" t="str">
        <f>VLOOKUP(B22,patients!$A:$K,4,FALSE)</f>
        <v>M</v>
      </c>
      <c r="E22" s="1">
        <f>VLOOKUP(B22,patients!$A:$K,5,FALSE)</f>
        <v>34072</v>
      </c>
      <c r="F22">
        <f>VLOOKUP(B22,patients!$A:$K,6,FALSE)</f>
        <v>7028910482</v>
      </c>
      <c r="G22" t="str">
        <f>VLOOKUP(B22,patients!$A:$K,7,FALSE)</f>
        <v>321 Maple Dr</v>
      </c>
      <c r="H22" s="1">
        <f>VLOOKUP(B22,patients!$A:$K,8,FALSE)</f>
        <v>45066</v>
      </c>
      <c r="I22" t="str">
        <f>VLOOKUP(B22,patients!$A:$K,11,FALSE)</f>
        <v>alex.moore@mail.com</v>
      </c>
      <c r="J22" t="s">
        <v>9</v>
      </c>
      <c r="K22" t="str">
        <f>VLOOKUP(J22,doctors!$A:$H,2,FALSE)&amp;" "&amp;VLOOKUP(J22,doctors!$A:$H,3,FALSE)</f>
        <v>Sarah Smith</v>
      </c>
      <c r="L22" t="str">
        <f>VLOOKUP(J22,doctors!$A:$H,4,FALSE)</f>
        <v>Pediatrics</v>
      </c>
      <c r="M22">
        <f>VLOOKUP(J22,doctors!$A:$H,5,FALSE)</f>
        <v>7387087517</v>
      </c>
      <c r="N22" t="str">
        <f>VLOOKUP(J22,doctors!$A:$H,7,FALSE)</f>
        <v>Central Hospital</v>
      </c>
      <c r="O22" s="1">
        <v>45040</v>
      </c>
      <c r="P22" s="2">
        <v>0.41666666666666669</v>
      </c>
      <c r="Q22" t="s">
        <v>10</v>
      </c>
      <c r="R22" t="s">
        <v>15</v>
      </c>
      <c r="S22" t="s">
        <v>458</v>
      </c>
      <c r="T22" t="s">
        <v>456</v>
      </c>
      <c r="U22" s="3">
        <v>2926.23</v>
      </c>
      <c r="V22" s="1">
        <v>45040</v>
      </c>
      <c r="W22" t="s">
        <v>669</v>
      </c>
      <c r="X22" s="1">
        <v>45040</v>
      </c>
      <c r="Y22" s="3">
        <v>2926.23</v>
      </c>
      <c r="Z22" t="s">
        <v>644</v>
      </c>
      <c r="AA22" t="s">
        <v>650</v>
      </c>
    </row>
    <row r="23" spans="1:27" x14ac:dyDescent="0.35">
      <c r="A23" t="s">
        <v>64</v>
      </c>
      <c r="B23" t="s">
        <v>40</v>
      </c>
      <c r="C23" t="str">
        <f>VLOOKUP(B23,patients!$A:$K,2,FALSE)&amp;" "&amp;VLOOKUP('HOSPITAL MANAGEMENT DATA'!B23,patients!$A:$K,3,FALSE)</f>
        <v>David Wilson</v>
      </c>
      <c r="D23" t="str">
        <f>VLOOKUP(B23,patients!$A:$K,4,FALSE)</f>
        <v>M</v>
      </c>
      <c r="E23" s="1">
        <f>VLOOKUP(B23,patients!$A:$K,5,FALSE)</f>
        <v>22090</v>
      </c>
      <c r="F23">
        <f>VLOOKUP(B23,patients!$A:$K,6,FALSE)</f>
        <v>7734463155</v>
      </c>
      <c r="G23" t="str">
        <f>VLOOKUP(B23,patients!$A:$K,7,FALSE)</f>
        <v>123 Elm St</v>
      </c>
      <c r="H23" s="1">
        <f>VLOOKUP(B23,patients!$A:$K,8,FALSE)</f>
        <v>44468</v>
      </c>
      <c r="I23" t="str">
        <f>VLOOKUP(B23,patients!$A:$K,11,FALSE)</f>
        <v>david.wilson@mail.com</v>
      </c>
      <c r="J23" t="s">
        <v>59</v>
      </c>
      <c r="K23" t="str">
        <f>VLOOKUP(J23,doctors!$A:$H,2,FALSE)&amp;" "&amp;VLOOKUP(J23,doctors!$A:$H,3,FALSE)</f>
        <v>David Taylor</v>
      </c>
      <c r="L23" t="str">
        <f>VLOOKUP(J23,doctors!$A:$H,4,FALSE)</f>
        <v>Dermatology</v>
      </c>
      <c r="M23">
        <f>VLOOKUP(J23,doctors!$A:$H,5,FALSE)</f>
        <v>8322010158</v>
      </c>
      <c r="N23" t="str">
        <f>VLOOKUP(J23,doctors!$A:$H,7,FALSE)</f>
        <v>Westside Clinic</v>
      </c>
      <c r="O23" s="1">
        <v>45244</v>
      </c>
      <c r="P23" s="2">
        <v>0.54166666666666663</v>
      </c>
      <c r="Q23" t="s">
        <v>18</v>
      </c>
      <c r="R23" t="s">
        <v>15</v>
      </c>
      <c r="S23" t="s">
        <v>459</v>
      </c>
      <c r="T23" t="s">
        <v>444</v>
      </c>
      <c r="U23" s="3">
        <v>1900.88</v>
      </c>
      <c r="V23" s="1">
        <v>45244</v>
      </c>
      <c r="W23" t="s">
        <v>670</v>
      </c>
      <c r="X23" s="1">
        <v>45244</v>
      </c>
      <c r="Y23" s="3">
        <v>1900.88</v>
      </c>
      <c r="Z23" t="s">
        <v>652</v>
      </c>
      <c r="AA23" t="s">
        <v>650</v>
      </c>
    </row>
    <row r="24" spans="1:27" x14ac:dyDescent="0.35">
      <c r="A24" t="s">
        <v>65</v>
      </c>
      <c r="B24" t="s">
        <v>66</v>
      </c>
      <c r="C24" t="str">
        <f>VLOOKUP(B24,patients!$A:$K,2,FALSE)&amp;" "&amp;VLOOKUP('HOSPITAL MANAGEMENT DATA'!B24,patients!$A:$K,3,FALSE)</f>
        <v>Jane Moore</v>
      </c>
      <c r="D24" t="str">
        <f>VLOOKUP(B24,patients!$A:$K,4,FALSE)</f>
        <v>M</v>
      </c>
      <c r="E24" s="1">
        <f>VLOOKUP(B24,patients!$A:$K,5,FALSE)</f>
        <v>35046</v>
      </c>
      <c r="F24">
        <f>VLOOKUP(B24,patients!$A:$K,6,FALSE)</f>
        <v>8715732851</v>
      </c>
      <c r="G24" t="str">
        <f>VLOOKUP(B24,patients!$A:$K,7,FALSE)</f>
        <v>321 Maple Dr</v>
      </c>
      <c r="H24" s="1">
        <f>VLOOKUP(B24,patients!$A:$K,8,FALSE)</f>
        <v>44701</v>
      </c>
      <c r="I24" t="str">
        <f>VLOOKUP(B24,patients!$A:$K,11,FALSE)</f>
        <v>jane.moore@mail.com</v>
      </c>
      <c r="J24" t="s">
        <v>9</v>
      </c>
      <c r="K24" t="str">
        <f>VLOOKUP(J24,doctors!$A:$H,2,FALSE)&amp;" "&amp;VLOOKUP(J24,doctors!$A:$H,3,FALSE)</f>
        <v>Sarah Smith</v>
      </c>
      <c r="L24" t="str">
        <f>VLOOKUP(J24,doctors!$A:$H,4,FALSE)</f>
        <v>Pediatrics</v>
      </c>
      <c r="M24">
        <f>VLOOKUP(J24,doctors!$A:$H,5,FALSE)</f>
        <v>7387087517</v>
      </c>
      <c r="N24" t="str">
        <f>VLOOKUP(J24,doctors!$A:$H,7,FALSE)</f>
        <v>Central Hospital</v>
      </c>
      <c r="O24" s="1">
        <v>45055</v>
      </c>
      <c r="P24" s="2">
        <v>0.60416666666666663</v>
      </c>
      <c r="Q24" t="s">
        <v>38</v>
      </c>
      <c r="R24" t="s">
        <v>19</v>
      </c>
      <c r="S24" t="s">
        <v>460</v>
      </c>
      <c r="T24" t="s">
        <v>434</v>
      </c>
      <c r="U24" s="3">
        <v>3246.5</v>
      </c>
      <c r="V24" s="1">
        <v>45055</v>
      </c>
      <c r="W24" t="s">
        <v>671</v>
      </c>
      <c r="X24" s="1">
        <v>45055</v>
      </c>
      <c r="Y24" s="3">
        <v>3246.5</v>
      </c>
      <c r="Z24" t="s">
        <v>652</v>
      </c>
      <c r="AA24" t="s">
        <v>645</v>
      </c>
    </row>
    <row r="25" spans="1:27" x14ac:dyDescent="0.35">
      <c r="A25" t="s">
        <v>67</v>
      </c>
      <c r="B25" t="s">
        <v>68</v>
      </c>
      <c r="C25" t="str">
        <f>VLOOKUP(B25,patients!$A:$K,2,FALSE)&amp;" "&amp;VLOOKUP('HOSPITAL MANAGEMENT DATA'!B25,patients!$A:$K,3,FALSE)</f>
        <v>David Moore</v>
      </c>
      <c r="D25" t="str">
        <f>VLOOKUP(B25,patients!$A:$K,4,FALSE)</f>
        <v>M</v>
      </c>
      <c r="E25" s="1">
        <f>VLOOKUP(B25,patients!$A:$K,5,FALSE)</f>
        <v>26629</v>
      </c>
      <c r="F25">
        <f>VLOOKUP(B25,patients!$A:$K,6,FALSE)</f>
        <v>7712937941</v>
      </c>
      <c r="G25" t="str">
        <f>VLOOKUP(B25,patients!$A:$K,7,FALSE)</f>
        <v>321 Maple Dr</v>
      </c>
      <c r="H25" s="1">
        <f>VLOOKUP(B25,patients!$A:$K,8,FALSE)</f>
        <v>45091</v>
      </c>
      <c r="I25" t="str">
        <f>VLOOKUP(B25,patients!$A:$K,11,FALSE)</f>
        <v>david.moore@mail.com</v>
      </c>
      <c r="J25" t="s">
        <v>54</v>
      </c>
      <c r="K25" t="str">
        <f>VLOOKUP(J25,doctors!$A:$H,2,FALSE)&amp;" "&amp;VLOOKUP(J25,doctors!$A:$H,3,FALSE)</f>
        <v>Linda Brown</v>
      </c>
      <c r="L25" t="str">
        <f>VLOOKUP(J25,doctors!$A:$H,4,FALSE)</f>
        <v>Dermatology</v>
      </c>
      <c r="M25">
        <f>VLOOKUP(J25,doctors!$A:$H,5,FALSE)</f>
        <v>9069162601</v>
      </c>
      <c r="N25" t="str">
        <f>VLOOKUP(J25,doctors!$A:$H,7,FALSE)</f>
        <v>Westside Clinic</v>
      </c>
      <c r="O25" s="1">
        <v>45098</v>
      </c>
      <c r="P25" s="2">
        <v>0.33333333333333331</v>
      </c>
      <c r="Q25" t="s">
        <v>29</v>
      </c>
      <c r="R25" t="s">
        <v>41</v>
      </c>
      <c r="S25" t="s">
        <v>461</v>
      </c>
      <c r="T25" t="s">
        <v>440</v>
      </c>
      <c r="U25" s="3">
        <v>3722.68</v>
      </c>
      <c r="V25" s="1">
        <v>45098</v>
      </c>
      <c r="W25" t="s">
        <v>672</v>
      </c>
      <c r="X25" s="1">
        <v>45098</v>
      </c>
      <c r="Y25" s="3">
        <v>3722.68</v>
      </c>
      <c r="Z25" t="s">
        <v>655</v>
      </c>
      <c r="AA25" t="s">
        <v>645</v>
      </c>
    </row>
    <row r="26" spans="1:27" x14ac:dyDescent="0.35">
      <c r="A26" t="s">
        <v>69</v>
      </c>
      <c r="B26" t="s">
        <v>70</v>
      </c>
      <c r="C26" t="str">
        <f>VLOOKUP(B26,patients!$A:$K,2,FALSE)&amp;" "&amp;VLOOKUP('HOSPITAL MANAGEMENT DATA'!B26,patients!$A:$K,3,FALSE)</f>
        <v>Emily Moore</v>
      </c>
      <c r="D26" t="str">
        <f>VLOOKUP(B26,patients!$A:$K,4,FALSE)</f>
        <v>M</v>
      </c>
      <c r="E26" s="1">
        <f>VLOOKUP(B26,patients!$A:$K,5,FALSE)</f>
        <v>23734</v>
      </c>
      <c r="F26">
        <f>VLOOKUP(B26,patients!$A:$K,6,FALSE)</f>
        <v>6622318721</v>
      </c>
      <c r="G26" t="str">
        <f>VLOOKUP(B26,patients!$A:$K,7,FALSE)</f>
        <v>456 Oak Ave</v>
      </c>
      <c r="H26" s="1">
        <f>VLOOKUP(B26,patients!$A:$K,8,FALSE)</f>
        <v>44415</v>
      </c>
      <c r="I26" t="str">
        <f>VLOOKUP(B26,patients!$A:$K,11,FALSE)</f>
        <v>emily.moore@mail.com</v>
      </c>
      <c r="J26" t="s">
        <v>59</v>
      </c>
      <c r="K26" t="str">
        <f>VLOOKUP(J26,doctors!$A:$H,2,FALSE)&amp;" "&amp;VLOOKUP(J26,doctors!$A:$H,3,FALSE)</f>
        <v>David Taylor</v>
      </c>
      <c r="L26" t="str">
        <f>VLOOKUP(J26,doctors!$A:$H,4,FALSE)</f>
        <v>Dermatology</v>
      </c>
      <c r="M26">
        <f>VLOOKUP(J26,doctors!$A:$H,5,FALSE)</f>
        <v>8322010158</v>
      </c>
      <c r="N26" t="str">
        <f>VLOOKUP(J26,doctors!$A:$H,7,FALSE)</f>
        <v>Westside Clinic</v>
      </c>
      <c r="O26" s="1">
        <v>44982</v>
      </c>
      <c r="P26" s="2">
        <v>0.33333333333333331</v>
      </c>
      <c r="Q26" t="s">
        <v>38</v>
      </c>
      <c r="R26" t="s">
        <v>15</v>
      </c>
      <c r="S26" t="s">
        <v>462</v>
      </c>
      <c r="T26" t="s">
        <v>440</v>
      </c>
      <c r="U26" s="3">
        <v>1726.81</v>
      </c>
      <c r="V26" s="1">
        <v>44982</v>
      </c>
      <c r="W26" t="s">
        <v>673</v>
      </c>
      <c r="X26" s="1">
        <v>44982</v>
      </c>
      <c r="Y26" s="3">
        <v>1726.81</v>
      </c>
      <c r="Z26" t="s">
        <v>655</v>
      </c>
      <c r="AA26" t="s">
        <v>650</v>
      </c>
    </row>
    <row r="27" spans="1:27" x14ac:dyDescent="0.35">
      <c r="A27" t="s">
        <v>71</v>
      </c>
      <c r="B27" t="s">
        <v>72</v>
      </c>
      <c r="C27" t="str">
        <f>VLOOKUP(B27,patients!$A:$K,2,FALSE)&amp;" "&amp;VLOOKUP('HOSPITAL MANAGEMENT DATA'!B27,patients!$A:$K,3,FALSE)</f>
        <v>Michael Taylor</v>
      </c>
      <c r="D27" t="str">
        <f>VLOOKUP(B27,patients!$A:$K,4,FALSE)</f>
        <v>F</v>
      </c>
      <c r="E27" s="1">
        <f>VLOOKUP(B27,patients!$A:$K,5,FALSE)</f>
        <v>31656</v>
      </c>
      <c r="F27">
        <f>VLOOKUP(B27,patients!$A:$K,6,FALSE)</f>
        <v>8019925828</v>
      </c>
      <c r="G27" t="str">
        <f>VLOOKUP(B27,patients!$A:$K,7,FALSE)</f>
        <v>456 Oak Ave</v>
      </c>
      <c r="H27" s="1">
        <f>VLOOKUP(B27,patients!$A:$K,8,FALSE)</f>
        <v>44408</v>
      </c>
      <c r="I27" t="str">
        <f>VLOOKUP(B27,patients!$A:$K,11,FALSE)</f>
        <v>michael.taylor@mail.com</v>
      </c>
      <c r="J27" t="s">
        <v>22</v>
      </c>
      <c r="K27" t="str">
        <f>VLOOKUP(J27,doctors!$A:$H,2,FALSE)&amp;" "&amp;VLOOKUP(J27,doctors!$A:$H,3,FALSE)</f>
        <v>Alex Davis</v>
      </c>
      <c r="L27" t="str">
        <f>VLOOKUP(J27,doctors!$A:$H,4,FALSE)</f>
        <v>Pediatrics</v>
      </c>
      <c r="M27">
        <f>VLOOKUP(J27,doctors!$A:$H,5,FALSE)</f>
        <v>6570137231</v>
      </c>
      <c r="N27" t="str">
        <f>VLOOKUP(J27,doctors!$A:$H,7,FALSE)</f>
        <v>Central Hospital</v>
      </c>
      <c r="O27" s="1">
        <v>45002</v>
      </c>
      <c r="P27" s="2">
        <v>0.59375</v>
      </c>
      <c r="Q27" t="s">
        <v>38</v>
      </c>
      <c r="R27" t="s">
        <v>19</v>
      </c>
      <c r="S27" t="s">
        <v>463</v>
      </c>
      <c r="T27" t="s">
        <v>431</v>
      </c>
      <c r="U27" s="3">
        <v>2360.9699999999998</v>
      </c>
      <c r="V27" s="1">
        <v>45002</v>
      </c>
      <c r="W27" t="s">
        <v>674</v>
      </c>
      <c r="X27" s="1">
        <v>45002</v>
      </c>
      <c r="Y27" s="3">
        <v>2360.9699999999998</v>
      </c>
      <c r="Z27" t="s">
        <v>644</v>
      </c>
      <c r="AA27" t="s">
        <v>647</v>
      </c>
    </row>
    <row r="28" spans="1:27" x14ac:dyDescent="0.35">
      <c r="A28" t="s">
        <v>73</v>
      </c>
      <c r="B28" t="s">
        <v>40</v>
      </c>
      <c r="C28" t="str">
        <f>VLOOKUP(B28,patients!$A:$K,2,FALSE)&amp;" "&amp;VLOOKUP('HOSPITAL MANAGEMENT DATA'!B28,patients!$A:$K,3,FALSE)</f>
        <v>David Wilson</v>
      </c>
      <c r="D28" t="str">
        <f>VLOOKUP(B28,patients!$A:$K,4,FALSE)</f>
        <v>M</v>
      </c>
      <c r="E28" s="1">
        <f>VLOOKUP(B28,patients!$A:$K,5,FALSE)</f>
        <v>22090</v>
      </c>
      <c r="F28">
        <f>VLOOKUP(B28,patients!$A:$K,6,FALSE)</f>
        <v>7734463155</v>
      </c>
      <c r="G28" t="str">
        <f>VLOOKUP(B28,patients!$A:$K,7,FALSE)</f>
        <v>123 Elm St</v>
      </c>
      <c r="H28" s="1">
        <f>VLOOKUP(B28,patients!$A:$K,8,FALSE)</f>
        <v>44468</v>
      </c>
      <c r="I28" t="str">
        <f>VLOOKUP(B28,patients!$A:$K,11,FALSE)</f>
        <v>david.wilson@mail.com</v>
      </c>
      <c r="J28" t="s">
        <v>74</v>
      </c>
      <c r="K28" t="str">
        <f>VLOOKUP(J28,doctors!$A:$H,2,FALSE)&amp;" "&amp;VLOOKUP(J28,doctors!$A:$H,3,FALSE)</f>
        <v>Sarah Taylor</v>
      </c>
      <c r="L28" t="str">
        <f>VLOOKUP(J28,doctors!$A:$H,4,FALSE)</f>
        <v>Dermatology</v>
      </c>
      <c r="M28">
        <f>VLOOKUP(J28,doctors!$A:$H,5,FALSE)</f>
        <v>9118538547</v>
      </c>
      <c r="N28" t="str">
        <f>VLOOKUP(J28,doctors!$A:$H,7,FALSE)</f>
        <v>Central Hospital</v>
      </c>
      <c r="O28" s="1">
        <v>45244</v>
      </c>
      <c r="P28" s="2">
        <v>0.53125</v>
      </c>
      <c r="Q28" t="s">
        <v>10</v>
      </c>
      <c r="R28" t="s">
        <v>11</v>
      </c>
      <c r="S28" t="s">
        <v>464</v>
      </c>
      <c r="T28" t="s">
        <v>456</v>
      </c>
      <c r="U28" s="3">
        <v>1048.49</v>
      </c>
      <c r="V28" s="1">
        <v>45244</v>
      </c>
      <c r="W28" t="s">
        <v>675</v>
      </c>
      <c r="X28" s="1">
        <v>45244</v>
      </c>
      <c r="Y28" s="3">
        <v>1048.49</v>
      </c>
      <c r="Z28" t="s">
        <v>644</v>
      </c>
      <c r="AA28" t="s">
        <v>645</v>
      </c>
    </row>
    <row r="29" spans="1:27" x14ac:dyDescent="0.35">
      <c r="A29" t="s">
        <v>75</v>
      </c>
      <c r="B29" t="s">
        <v>50</v>
      </c>
      <c r="C29" t="str">
        <f>VLOOKUP(B29,patients!$A:$K,2,FALSE)&amp;" "&amp;VLOOKUP('HOSPITAL MANAGEMENT DATA'!B29,patients!$A:$K,3,FALSE)</f>
        <v>Laura Davis</v>
      </c>
      <c r="D29" t="str">
        <f>VLOOKUP(B29,patients!$A:$K,4,FALSE)</f>
        <v>F</v>
      </c>
      <c r="E29" s="1">
        <f>VLOOKUP(B29,patients!$A:$K,5,FALSE)</f>
        <v>33580</v>
      </c>
      <c r="F29">
        <f>VLOOKUP(B29,patients!$A:$K,6,FALSE)</f>
        <v>8135666049</v>
      </c>
      <c r="G29" t="str">
        <f>VLOOKUP(B29,patients!$A:$K,7,FALSE)</f>
        <v>321 Maple Dr</v>
      </c>
      <c r="H29" s="1">
        <f>VLOOKUP(B29,patients!$A:$K,8,FALSE)</f>
        <v>45043</v>
      </c>
      <c r="I29" t="str">
        <f>VLOOKUP(B29,patients!$A:$K,11,FALSE)</f>
        <v>laura.davis@mail.com</v>
      </c>
      <c r="J29" t="s">
        <v>22</v>
      </c>
      <c r="K29" t="str">
        <f>VLOOKUP(J29,doctors!$A:$H,2,FALSE)&amp;" "&amp;VLOOKUP(J29,doctors!$A:$H,3,FALSE)</f>
        <v>Alex Davis</v>
      </c>
      <c r="L29" t="str">
        <f>VLOOKUP(J29,doctors!$A:$H,4,FALSE)</f>
        <v>Pediatrics</v>
      </c>
      <c r="M29">
        <f>VLOOKUP(J29,doctors!$A:$H,5,FALSE)</f>
        <v>6570137231</v>
      </c>
      <c r="N29" t="str">
        <f>VLOOKUP(J29,doctors!$A:$H,7,FALSE)</f>
        <v>Central Hospital</v>
      </c>
      <c r="O29" s="1">
        <v>45228</v>
      </c>
      <c r="P29" s="2">
        <v>0.64583333333333337</v>
      </c>
      <c r="Q29" t="s">
        <v>29</v>
      </c>
      <c r="R29" t="s">
        <v>15</v>
      </c>
      <c r="S29" t="s">
        <v>465</v>
      </c>
      <c r="T29" t="s">
        <v>431</v>
      </c>
      <c r="U29" s="3">
        <v>1315.17</v>
      </c>
      <c r="V29" s="1">
        <v>45228</v>
      </c>
      <c r="W29" t="s">
        <v>676</v>
      </c>
      <c r="X29" s="1">
        <v>45228</v>
      </c>
      <c r="Y29" s="3">
        <v>1315.17</v>
      </c>
      <c r="Z29" t="s">
        <v>652</v>
      </c>
      <c r="AA29" t="s">
        <v>647</v>
      </c>
    </row>
    <row r="30" spans="1:27" x14ac:dyDescent="0.35">
      <c r="A30" t="s">
        <v>76</v>
      </c>
      <c r="B30" t="s">
        <v>34</v>
      </c>
      <c r="C30" t="str">
        <f>VLOOKUP(B30,patients!$A:$K,2,FALSE)&amp;" "&amp;VLOOKUP('HOSPITAL MANAGEMENT DATA'!B30,patients!$A:$K,3,FALSE)</f>
        <v>Michael Taylor</v>
      </c>
      <c r="D30" t="str">
        <f>VLOOKUP(B30,patients!$A:$K,4,FALSE)</f>
        <v>M</v>
      </c>
      <c r="E30" s="1">
        <f>VLOOKUP(B30,patients!$A:$K,5,FALSE)</f>
        <v>36729</v>
      </c>
      <c r="F30">
        <f>VLOOKUP(B30,patients!$A:$K,6,FALSE)</f>
        <v>7223380592</v>
      </c>
      <c r="G30" t="str">
        <f>VLOOKUP(B30,patients!$A:$K,7,FALSE)</f>
        <v>789 Pine Rd</v>
      </c>
      <c r="H30" s="1">
        <f>VLOOKUP(B30,patients!$A:$K,8,FALSE)</f>
        <v>44400</v>
      </c>
      <c r="I30" t="str">
        <f>VLOOKUP(B30,patients!$A:$K,11,FALSE)</f>
        <v>michael.taylor@mail.com</v>
      </c>
      <c r="J30" t="s">
        <v>35</v>
      </c>
      <c r="K30" t="str">
        <f>VLOOKUP(J30,doctors!$A:$H,2,FALSE)&amp;" "&amp;VLOOKUP(J30,doctors!$A:$H,3,FALSE)</f>
        <v>Linda Wilson</v>
      </c>
      <c r="L30" t="str">
        <f>VLOOKUP(J30,doctors!$A:$H,4,FALSE)</f>
        <v>Oncology</v>
      </c>
      <c r="M30">
        <f>VLOOKUP(J30,doctors!$A:$H,5,FALSE)</f>
        <v>6176383634</v>
      </c>
      <c r="N30" t="str">
        <f>VLOOKUP(J30,doctors!$A:$H,7,FALSE)</f>
        <v>Eastside Clinic</v>
      </c>
      <c r="O30" s="1">
        <v>45102</v>
      </c>
      <c r="P30" s="2">
        <v>0.60416666666666663</v>
      </c>
      <c r="Q30" t="s">
        <v>29</v>
      </c>
      <c r="R30" t="s">
        <v>41</v>
      </c>
      <c r="S30" t="s">
        <v>466</v>
      </c>
      <c r="T30" t="s">
        <v>434</v>
      </c>
      <c r="U30" s="3">
        <v>3565.03</v>
      </c>
      <c r="V30" s="1">
        <v>45102</v>
      </c>
      <c r="W30" t="s">
        <v>677</v>
      </c>
      <c r="X30" s="1">
        <v>45102</v>
      </c>
      <c r="Y30" s="3">
        <v>3565.03</v>
      </c>
      <c r="Z30" t="s">
        <v>644</v>
      </c>
      <c r="AA30" t="s">
        <v>647</v>
      </c>
    </row>
    <row r="31" spans="1:27" x14ac:dyDescent="0.35">
      <c r="A31" t="s">
        <v>77</v>
      </c>
      <c r="B31" t="s">
        <v>52</v>
      </c>
      <c r="C31" t="str">
        <f>VLOOKUP(B31,patients!$A:$K,2,FALSE)&amp;" "&amp;VLOOKUP('HOSPITAL MANAGEMENT DATA'!B31,patients!$A:$K,3,FALSE)</f>
        <v>John Taylor</v>
      </c>
      <c r="D31" t="str">
        <f>VLOOKUP(B31,patients!$A:$K,4,FALSE)</f>
        <v>M</v>
      </c>
      <c r="E31" s="1">
        <f>VLOOKUP(B31,patients!$A:$K,5,FALSE)</f>
        <v>37953</v>
      </c>
      <c r="F31">
        <f>VLOOKUP(B31,patients!$A:$K,6,FALSE)</f>
        <v>9900972256</v>
      </c>
      <c r="G31" t="str">
        <f>VLOOKUP(B31,patients!$A:$K,7,FALSE)</f>
        <v>123 Elm St</v>
      </c>
      <c r="H31" s="1">
        <f>VLOOKUP(B31,patients!$A:$K,8,FALSE)</f>
        <v>44329</v>
      </c>
      <c r="I31" t="str">
        <f>VLOOKUP(B31,patients!$A:$K,11,FALSE)</f>
        <v>john.taylor@mail.com</v>
      </c>
      <c r="J31" t="s">
        <v>74</v>
      </c>
      <c r="K31" t="str">
        <f>VLOOKUP(J31,doctors!$A:$H,2,FALSE)&amp;" "&amp;VLOOKUP(J31,doctors!$A:$H,3,FALSE)</f>
        <v>Sarah Taylor</v>
      </c>
      <c r="L31" t="str">
        <f>VLOOKUP(J31,doctors!$A:$H,4,FALSE)</f>
        <v>Dermatology</v>
      </c>
      <c r="M31">
        <f>VLOOKUP(J31,doctors!$A:$H,5,FALSE)</f>
        <v>9118538547</v>
      </c>
      <c r="N31" t="str">
        <f>VLOOKUP(J31,doctors!$A:$H,7,FALSE)</f>
        <v>Central Hospital</v>
      </c>
      <c r="O31" s="1">
        <v>45167</v>
      </c>
      <c r="P31" s="2">
        <v>0.55208333333333337</v>
      </c>
      <c r="Q31" t="s">
        <v>29</v>
      </c>
      <c r="R31" t="s">
        <v>41</v>
      </c>
      <c r="S31" t="s">
        <v>467</v>
      </c>
      <c r="T31" t="s">
        <v>431</v>
      </c>
      <c r="U31" s="3">
        <v>1316.47</v>
      </c>
      <c r="V31" s="1">
        <v>45167</v>
      </c>
      <c r="W31" t="s">
        <v>678</v>
      </c>
      <c r="X31" s="1">
        <v>45167</v>
      </c>
      <c r="Y31" s="3">
        <v>1316.47</v>
      </c>
      <c r="Z31" t="s">
        <v>652</v>
      </c>
      <c r="AA31" t="s">
        <v>645</v>
      </c>
    </row>
    <row r="32" spans="1:27" x14ac:dyDescent="0.35">
      <c r="A32" t="s">
        <v>78</v>
      </c>
      <c r="B32" t="s">
        <v>52</v>
      </c>
      <c r="C32" t="str">
        <f>VLOOKUP(B32,patients!$A:$K,2,FALSE)&amp;" "&amp;VLOOKUP('HOSPITAL MANAGEMENT DATA'!B32,patients!$A:$K,3,FALSE)</f>
        <v>John Taylor</v>
      </c>
      <c r="D32" t="str">
        <f>VLOOKUP(B32,patients!$A:$K,4,FALSE)</f>
        <v>M</v>
      </c>
      <c r="E32" s="1">
        <f>VLOOKUP(B32,patients!$A:$K,5,FALSE)</f>
        <v>37953</v>
      </c>
      <c r="F32">
        <f>VLOOKUP(B32,patients!$A:$K,6,FALSE)</f>
        <v>9900972256</v>
      </c>
      <c r="G32" t="str">
        <f>VLOOKUP(B32,patients!$A:$K,7,FALSE)</f>
        <v>123 Elm St</v>
      </c>
      <c r="H32" s="1">
        <f>VLOOKUP(B32,patients!$A:$K,8,FALSE)</f>
        <v>44329</v>
      </c>
      <c r="I32" t="str">
        <f>VLOOKUP(B32,patients!$A:$K,11,FALSE)</f>
        <v>john.taylor@mail.com</v>
      </c>
      <c r="J32" t="s">
        <v>22</v>
      </c>
      <c r="K32" t="str">
        <f>VLOOKUP(J32,doctors!$A:$H,2,FALSE)&amp;" "&amp;VLOOKUP(J32,doctors!$A:$H,3,FALSE)</f>
        <v>Alex Davis</v>
      </c>
      <c r="L32" t="str">
        <f>VLOOKUP(J32,doctors!$A:$H,4,FALSE)</f>
        <v>Pediatrics</v>
      </c>
      <c r="M32">
        <f>VLOOKUP(J32,doctors!$A:$H,5,FALSE)</f>
        <v>6570137231</v>
      </c>
      <c r="N32" t="str">
        <f>VLOOKUP(J32,doctors!$A:$H,7,FALSE)</f>
        <v>Central Hospital</v>
      </c>
      <c r="O32" s="1">
        <v>45020</v>
      </c>
      <c r="P32" s="2">
        <v>0.4375</v>
      </c>
      <c r="Q32" t="s">
        <v>29</v>
      </c>
      <c r="R32" t="s">
        <v>41</v>
      </c>
      <c r="S32" t="s">
        <v>468</v>
      </c>
      <c r="T32" t="s">
        <v>440</v>
      </c>
      <c r="U32" s="3">
        <v>2863.24</v>
      </c>
      <c r="V32" s="1">
        <v>45020</v>
      </c>
      <c r="W32" t="s">
        <v>679</v>
      </c>
      <c r="X32" s="1">
        <v>45020</v>
      </c>
      <c r="Y32" s="3">
        <v>2863.24</v>
      </c>
      <c r="Z32" t="s">
        <v>652</v>
      </c>
      <c r="AA32" t="s">
        <v>645</v>
      </c>
    </row>
    <row r="33" spans="1:27" x14ac:dyDescent="0.35">
      <c r="A33" t="s">
        <v>79</v>
      </c>
      <c r="B33" t="s">
        <v>17</v>
      </c>
      <c r="C33" t="str">
        <f>VLOOKUP(B33,patients!$A:$K,2,FALSE)&amp;" "&amp;VLOOKUP('HOSPITAL MANAGEMENT DATA'!B33,patients!$A:$K,3,FALSE)</f>
        <v>Emily Miller</v>
      </c>
      <c r="D33" t="str">
        <f>VLOOKUP(B33,patients!$A:$K,4,FALSE)</f>
        <v>M</v>
      </c>
      <c r="E33" s="1">
        <f>VLOOKUP(B33,patients!$A:$K,5,FALSE)</f>
        <v>30399</v>
      </c>
      <c r="F33">
        <f>VLOOKUP(B33,patients!$A:$K,6,FALSE)</f>
        <v>8720989381</v>
      </c>
      <c r="G33" t="str">
        <f>VLOOKUP(B33,patients!$A:$K,7,FALSE)</f>
        <v>123 Elm St</v>
      </c>
      <c r="H33" s="1">
        <f>VLOOKUP(B33,patients!$A:$K,8,FALSE)</f>
        <v>45096</v>
      </c>
      <c r="I33" t="str">
        <f>VLOOKUP(B33,patients!$A:$K,11,FALSE)</f>
        <v>emily.miller@mail.com</v>
      </c>
      <c r="J33" t="s">
        <v>74</v>
      </c>
      <c r="K33" t="str">
        <f>VLOOKUP(J33,doctors!$A:$H,2,FALSE)&amp;" "&amp;VLOOKUP(J33,doctors!$A:$H,3,FALSE)</f>
        <v>Sarah Taylor</v>
      </c>
      <c r="L33" t="str">
        <f>VLOOKUP(J33,doctors!$A:$H,4,FALSE)</f>
        <v>Dermatology</v>
      </c>
      <c r="M33">
        <f>VLOOKUP(J33,doctors!$A:$H,5,FALSE)</f>
        <v>9118538547</v>
      </c>
      <c r="N33" t="str">
        <f>VLOOKUP(J33,doctors!$A:$H,7,FALSE)</f>
        <v>Central Hospital</v>
      </c>
      <c r="O33" s="1">
        <v>45236</v>
      </c>
      <c r="P33" s="2">
        <v>0.44791666666666669</v>
      </c>
      <c r="Q33" t="s">
        <v>29</v>
      </c>
      <c r="R33" t="s">
        <v>11</v>
      </c>
      <c r="S33" t="s">
        <v>469</v>
      </c>
      <c r="T33" t="s">
        <v>440</v>
      </c>
      <c r="U33" s="3">
        <v>3690.71</v>
      </c>
      <c r="V33" s="1">
        <v>45236</v>
      </c>
      <c r="W33" t="s">
        <v>680</v>
      </c>
      <c r="X33" s="1">
        <v>45236</v>
      </c>
      <c r="Y33" s="3">
        <v>3690.71</v>
      </c>
      <c r="Z33" t="s">
        <v>644</v>
      </c>
      <c r="AA33" t="s">
        <v>647</v>
      </c>
    </row>
    <row r="34" spans="1:27" x14ac:dyDescent="0.35">
      <c r="A34" t="s">
        <v>80</v>
      </c>
      <c r="B34" t="s">
        <v>81</v>
      </c>
      <c r="C34" t="str">
        <f>VLOOKUP(B34,patients!$A:$K,2,FALSE)&amp;" "&amp;VLOOKUP('HOSPITAL MANAGEMENT DATA'!B34,patients!$A:$K,3,FALSE)</f>
        <v>Michael Wilson</v>
      </c>
      <c r="D34" t="str">
        <f>VLOOKUP(B34,patients!$A:$K,4,FALSE)</f>
        <v>M</v>
      </c>
      <c r="E34" s="1">
        <f>VLOOKUP(B34,patients!$A:$K,5,FALSE)</f>
        <v>37316</v>
      </c>
      <c r="F34">
        <f>VLOOKUP(B34,patients!$A:$K,6,FALSE)</f>
        <v>7765390555</v>
      </c>
      <c r="G34" t="str">
        <f>VLOOKUP(B34,patients!$A:$K,7,FALSE)</f>
        <v>321 Maple Dr</v>
      </c>
      <c r="H34" s="1">
        <f>VLOOKUP(B34,patients!$A:$K,8,FALSE)</f>
        <v>44580</v>
      </c>
      <c r="I34" t="str">
        <f>VLOOKUP(B34,patients!$A:$K,11,FALSE)</f>
        <v>michael.wilson@mail.com</v>
      </c>
      <c r="J34" t="s">
        <v>74</v>
      </c>
      <c r="K34" t="str">
        <f>VLOOKUP(J34,doctors!$A:$H,2,FALSE)&amp;" "&amp;VLOOKUP(J34,doctors!$A:$H,3,FALSE)</f>
        <v>Sarah Taylor</v>
      </c>
      <c r="L34" t="str">
        <f>VLOOKUP(J34,doctors!$A:$H,4,FALSE)</f>
        <v>Dermatology</v>
      </c>
      <c r="M34">
        <f>VLOOKUP(J34,doctors!$A:$H,5,FALSE)</f>
        <v>9118538547</v>
      </c>
      <c r="N34" t="str">
        <f>VLOOKUP(J34,doctors!$A:$H,7,FALSE)</f>
        <v>Central Hospital</v>
      </c>
      <c r="O34" s="1">
        <v>45192</v>
      </c>
      <c r="P34" s="2">
        <v>0.73958333333333337</v>
      </c>
      <c r="Q34" t="s">
        <v>10</v>
      </c>
      <c r="R34" t="s">
        <v>15</v>
      </c>
      <c r="S34" t="s">
        <v>470</v>
      </c>
      <c r="T34" t="s">
        <v>444</v>
      </c>
      <c r="U34" s="3">
        <v>980.95</v>
      </c>
      <c r="V34" s="1">
        <v>45192</v>
      </c>
      <c r="W34" t="s">
        <v>681</v>
      </c>
      <c r="X34" s="1">
        <v>45192</v>
      </c>
      <c r="Y34" s="3">
        <v>980.95</v>
      </c>
      <c r="Z34" t="s">
        <v>652</v>
      </c>
      <c r="AA34" t="s">
        <v>647</v>
      </c>
    </row>
    <row r="35" spans="1:27" x14ac:dyDescent="0.35">
      <c r="A35" t="s">
        <v>82</v>
      </c>
      <c r="B35" t="s">
        <v>37</v>
      </c>
      <c r="C35" t="str">
        <f>VLOOKUP(B35,patients!$A:$K,2,FALSE)&amp;" "&amp;VLOOKUP('HOSPITAL MANAGEMENT DATA'!B35,patients!$A:$K,3,FALSE)</f>
        <v>Jane Wilson</v>
      </c>
      <c r="D35" t="str">
        <f>VLOOKUP(B35,patients!$A:$K,4,FALSE)</f>
        <v>F</v>
      </c>
      <c r="E35" s="1">
        <f>VLOOKUP(B35,patients!$A:$K,5,FALSE)</f>
        <v>18609</v>
      </c>
      <c r="F35">
        <f>VLOOKUP(B35,patients!$A:$K,6,FALSE)</f>
        <v>9271131338</v>
      </c>
      <c r="G35" t="str">
        <f>VLOOKUP(B35,patients!$A:$K,7,FALSE)</f>
        <v>789 Pine Rd</v>
      </c>
      <c r="H35" s="1">
        <f>VLOOKUP(B35,patients!$A:$K,8,FALSE)</f>
        <v>44264</v>
      </c>
      <c r="I35" t="str">
        <f>VLOOKUP(B35,patients!$A:$K,11,FALSE)</f>
        <v>jane.wilson@mail.com</v>
      </c>
      <c r="J35" t="s">
        <v>14</v>
      </c>
      <c r="K35" t="str">
        <f>VLOOKUP(J35,doctors!$A:$H,2,FALSE)&amp;" "&amp;VLOOKUP(J35,doctors!$A:$H,3,FALSE)</f>
        <v>David Jones</v>
      </c>
      <c r="L35" t="str">
        <f>VLOOKUP(J35,doctors!$A:$H,4,FALSE)</f>
        <v>Pediatrics</v>
      </c>
      <c r="M35">
        <f>VLOOKUP(J35,doctors!$A:$H,5,FALSE)</f>
        <v>6594221991</v>
      </c>
      <c r="N35" t="str">
        <f>VLOOKUP(J35,doctors!$A:$H,7,FALSE)</f>
        <v>Central Hospital</v>
      </c>
      <c r="O35" s="1">
        <v>45090</v>
      </c>
      <c r="P35" s="2">
        <v>0.47916666666666669</v>
      </c>
      <c r="Q35" t="s">
        <v>18</v>
      </c>
      <c r="R35" t="s">
        <v>15</v>
      </c>
      <c r="S35" t="s">
        <v>471</v>
      </c>
      <c r="T35" t="s">
        <v>444</v>
      </c>
      <c r="U35" s="3">
        <v>3052.9</v>
      </c>
      <c r="V35" s="1">
        <v>45090</v>
      </c>
      <c r="W35" t="s">
        <v>682</v>
      </c>
      <c r="X35" s="1">
        <v>45090</v>
      </c>
      <c r="Y35" s="3">
        <v>3052.9</v>
      </c>
      <c r="Z35" t="s">
        <v>655</v>
      </c>
      <c r="AA35" t="s">
        <v>650</v>
      </c>
    </row>
    <row r="36" spans="1:27" x14ac:dyDescent="0.35">
      <c r="A36" t="s">
        <v>83</v>
      </c>
      <c r="B36" t="s">
        <v>84</v>
      </c>
      <c r="C36" t="str">
        <f>VLOOKUP(B36,patients!$A:$K,2,FALSE)&amp;" "&amp;VLOOKUP('HOSPITAL MANAGEMENT DATA'!B36,patients!$A:$K,3,FALSE)</f>
        <v>Michael Wilson</v>
      </c>
      <c r="D36" t="str">
        <f>VLOOKUP(B36,patients!$A:$K,4,FALSE)</f>
        <v>M</v>
      </c>
      <c r="E36" s="1">
        <f>VLOOKUP(B36,patients!$A:$K,5,FALSE)</f>
        <v>35790</v>
      </c>
      <c r="F36">
        <f>VLOOKUP(B36,patients!$A:$K,6,FALSE)</f>
        <v>8545613046</v>
      </c>
      <c r="G36" t="str">
        <f>VLOOKUP(B36,patients!$A:$K,7,FALSE)</f>
        <v>123 Elm St</v>
      </c>
      <c r="H36" s="1">
        <f>VLOOKUP(B36,patients!$A:$K,8,FALSE)</f>
        <v>44838</v>
      </c>
      <c r="I36" t="str">
        <f>VLOOKUP(B36,patients!$A:$K,11,FALSE)</f>
        <v>michael.wilson@mail.com</v>
      </c>
      <c r="J36" t="s">
        <v>25</v>
      </c>
      <c r="K36" t="str">
        <f>VLOOKUP(J36,doctors!$A:$H,2,FALSE)&amp;" "&amp;VLOOKUP(J36,doctors!$A:$H,3,FALSE)</f>
        <v>Jane Smith</v>
      </c>
      <c r="L36" t="str">
        <f>VLOOKUP(J36,doctors!$A:$H,4,FALSE)</f>
        <v>Pediatrics</v>
      </c>
      <c r="M36">
        <f>VLOOKUP(J36,doctors!$A:$H,5,FALSE)</f>
        <v>8737740598</v>
      </c>
      <c r="N36" t="str">
        <f>VLOOKUP(J36,doctors!$A:$H,7,FALSE)</f>
        <v>Eastside Clinic</v>
      </c>
      <c r="O36" s="1">
        <v>45034</v>
      </c>
      <c r="P36" s="2">
        <v>0.36458333333333331</v>
      </c>
      <c r="Q36" t="s">
        <v>38</v>
      </c>
      <c r="R36" t="s">
        <v>11</v>
      </c>
      <c r="S36" t="s">
        <v>472</v>
      </c>
      <c r="T36" t="s">
        <v>434</v>
      </c>
      <c r="U36" s="3">
        <v>1654.53</v>
      </c>
      <c r="V36" s="1">
        <v>45034</v>
      </c>
      <c r="W36" t="s">
        <v>683</v>
      </c>
      <c r="X36" s="1">
        <v>45034</v>
      </c>
      <c r="Y36" s="3">
        <v>1654.53</v>
      </c>
      <c r="Z36" t="s">
        <v>644</v>
      </c>
      <c r="AA36" t="s">
        <v>650</v>
      </c>
    </row>
    <row r="37" spans="1:27" x14ac:dyDescent="0.35">
      <c r="A37" t="s">
        <v>85</v>
      </c>
      <c r="B37" t="s">
        <v>86</v>
      </c>
      <c r="C37" t="str">
        <f>VLOOKUP(B37,patients!$A:$K,2,FALSE)&amp;" "&amp;VLOOKUP('HOSPITAL MANAGEMENT DATA'!B37,patients!$A:$K,3,FALSE)</f>
        <v>Michael Wilson</v>
      </c>
      <c r="D37" t="str">
        <f>VLOOKUP(B37,patients!$A:$K,4,FALSE)</f>
        <v>F</v>
      </c>
      <c r="E37" s="1">
        <f>VLOOKUP(B37,patients!$A:$K,5,FALSE)</f>
        <v>25605</v>
      </c>
      <c r="F37">
        <f>VLOOKUP(B37,patients!$A:$K,6,FALSE)</f>
        <v>7923214041</v>
      </c>
      <c r="G37" t="str">
        <f>VLOOKUP(B37,patients!$A:$K,7,FALSE)</f>
        <v>789 Pine Rd</v>
      </c>
      <c r="H37" s="1">
        <f>VLOOKUP(B37,patients!$A:$K,8,FALSE)</f>
        <v>45175</v>
      </c>
      <c r="I37" t="str">
        <f>VLOOKUP(B37,patients!$A:$K,11,FALSE)</f>
        <v>michael.wilson@mail.com</v>
      </c>
      <c r="J37" t="s">
        <v>25</v>
      </c>
      <c r="K37" t="str">
        <f>VLOOKUP(J37,doctors!$A:$H,2,FALSE)&amp;" "&amp;VLOOKUP(J37,doctors!$A:$H,3,FALSE)</f>
        <v>Jane Smith</v>
      </c>
      <c r="L37" t="str">
        <f>VLOOKUP(J37,doctors!$A:$H,4,FALSE)</f>
        <v>Pediatrics</v>
      </c>
      <c r="M37">
        <f>VLOOKUP(J37,doctors!$A:$H,5,FALSE)</f>
        <v>8737740598</v>
      </c>
      <c r="N37" t="str">
        <f>VLOOKUP(J37,doctors!$A:$H,7,FALSE)</f>
        <v>Eastside Clinic</v>
      </c>
      <c r="O37" s="1">
        <v>44934</v>
      </c>
      <c r="P37" s="2">
        <v>0.60416666666666663</v>
      </c>
      <c r="Q37" t="s">
        <v>29</v>
      </c>
      <c r="R37" t="s">
        <v>15</v>
      </c>
      <c r="S37" t="s">
        <v>473</v>
      </c>
      <c r="T37" t="s">
        <v>456</v>
      </c>
      <c r="U37" s="3">
        <v>4833.17</v>
      </c>
      <c r="V37" s="1">
        <v>44934</v>
      </c>
      <c r="W37" t="s">
        <v>684</v>
      </c>
      <c r="X37" s="1">
        <v>44934</v>
      </c>
      <c r="Y37" s="3">
        <v>4833.17</v>
      </c>
      <c r="Z37" t="s">
        <v>655</v>
      </c>
      <c r="AA37" t="s">
        <v>645</v>
      </c>
    </row>
    <row r="38" spans="1:27" x14ac:dyDescent="0.35">
      <c r="A38" t="s">
        <v>87</v>
      </c>
      <c r="B38" t="s">
        <v>70</v>
      </c>
      <c r="C38" t="str">
        <f>VLOOKUP(B38,patients!$A:$K,2,FALSE)&amp;" "&amp;VLOOKUP('HOSPITAL MANAGEMENT DATA'!B38,patients!$A:$K,3,FALSE)</f>
        <v>Emily Moore</v>
      </c>
      <c r="D38" t="str">
        <f>VLOOKUP(B38,patients!$A:$K,4,FALSE)</f>
        <v>M</v>
      </c>
      <c r="E38" s="1">
        <f>VLOOKUP(B38,patients!$A:$K,5,FALSE)</f>
        <v>23734</v>
      </c>
      <c r="F38">
        <f>VLOOKUP(B38,patients!$A:$K,6,FALSE)</f>
        <v>6622318721</v>
      </c>
      <c r="G38" t="str">
        <f>VLOOKUP(B38,patients!$A:$K,7,FALSE)</f>
        <v>456 Oak Ave</v>
      </c>
      <c r="H38" s="1">
        <f>VLOOKUP(B38,patients!$A:$K,8,FALSE)</f>
        <v>44415</v>
      </c>
      <c r="I38" t="str">
        <f>VLOOKUP(B38,patients!$A:$K,11,FALSE)</f>
        <v>emily.moore@mail.com</v>
      </c>
      <c r="J38" t="s">
        <v>14</v>
      </c>
      <c r="K38" t="str">
        <f>VLOOKUP(J38,doctors!$A:$H,2,FALSE)&amp;" "&amp;VLOOKUP(J38,doctors!$A:$H,3,FALSE)</f>
        <v>David Jones</v>
      </c>
      <c r="L38" t="str">
        <f>VLOOKUP(J38,doctors!$A:$H,4,FALSE)</f>
        <v>Pediatrics</v>
      </c>
      <c r="M38">
        <f>VLOOKUP(J38,doctors!$A:$H,5,FALSE)</f>
        <v>6594221991</v>
      </c>
      <c r="N38" t="str">
        <f>VLOOKUP(J38,doctors!$A:$H,7,FALSE)</f>
        <v>Central Hospital</v>
      </c>
      <c r="O38" s="1">
        <v>45013</v>
      </c>
      <c r="P38" s="2">
        <v>0.45833333333333331</v>
      </c>
      <c r="Q38" t="s">
        <v>18</v>
      </c>
      <c r="R38" t="s">
        <v>11</v>
      </c>
      <c r="S38" t="s">
        <v>474</v>
      </c>
      <c r="T38" t="s">
        <v>431</v>
      </c>
      <c r="U38" s="3">
        <v>2675.96</v>
      </c>
      <c r="V38" s="1">
        <v>45013</v>
      </c>
      <c r="W38" t="s">
        <v>685</v>
      </c>
      <c r="X38" s="1">
        <v>45013</v>
      </c>
      <c r="Y38" s="3">
        <v>2675.96</v>
      </c>
      <c r="Z38" t="s">
        <v>644</v>
      </c>
      <c r="AA38" t="s">
        <v>650</v>
      </c>
    </row>
    <row r="39" spans="1:27" x14ac:dyDescent="0.35">
      <c r="A39" t="s">
        <v>88</v>
      </c>
      <c r="B39" t="s">
        <v>56</v>
      </c>
      <c r="C39" t="str">
        <f>VLOOKUP(B39,patients!$A:$K,2,FALSE)&amp;" "&amp;VLOOKUP('HOSPITAL MANAGEMENT DATA'!B39,patients!$A:$K,3,FALSE)</f>
        <v>Robert Williams</v>
      </c>
      <c r="D39" t="str">
        <f>VLOOKUP(B39,patients!$A:$K,4,FALSE)</f>
        <v>M</v>
      </c>
      <c r="E39" s="1">
        <f>VLOOKUP(B39,patients!$A:$K,5,FALSE)</f>
        <v>36196</v>
      </c>
      <c r="F39">
        <f>VLOOKUP(B39,patients!$A:$K,6,FALSE)</f>
        <v>8886800195</v>
      </c>
      <c r="G39" t="str">
        <f>VLOOKUP(B39,patients!$A:$K,7,FALSE)</f>
        <v>456 Oak Ave</v>
      </c>
      <c r="H39" s="1">
        <f>VLOOKUP(B39,patients!$A:$K,8,FALSE)</f>
        <v>44469</v>
      </c>
      <c r="I39" t="str">
        <f>VLOOKUP(B39,patients!$A:$K,11,FALSE)</f>
        <v>robert.williams@mail.com</v>
      </c>
      <c r="J39" t="s">
        <v>9</v>
      </c>
      <c r="K39" t="str">
        <f>VLOOKUP(J39,doctors!$A:$H,2,FALSE)&amp;" "&amp;VLOOKUP(J39,doctors!$A:$H,3,FALSE)</f>
        <v>Sarah Smith</v>
      </c>
      <c r="L39" t="str">
        <f>VLOOKUP(J39,doctors!$A:$H,4,FALSE)</f>
        <v>Pediatrics</v>
      </c>
      <c r="M39">
        <f>VLOOKUP(J39,doctors!$A:$H,5,FALSE)</f>
        <v>7387087517</v>
      </c>
      <c r="N39" t="str">
        <f>VLOOKUP(J39,doctors!$A:$H,7,FALSE)</f>
        <v>Central Hospital</v>
      </c>
      <c r="O39" s="1">
        <v>44980</v>
      </c>
      <c r="P39" s="2">
        <v>0.54166666666666663</v>
      </c>
      <c r="Q39" t="s">
        <v>18</v>
      </c>
      <c r="R39" t="s">
        <v>11</v>
      </c>
      <c r="S39" t="s">
        <v>475</v>
      </c>
      <c r="T39" t="s">
        <v>434</v>
      </c>
      <c r="U39" s="3">
        <v>4126.97</v>
      </c>
      <c r="V39" s="1">
        <v>44980</v>
      </c>
      <c r="W39" t="s">
        <v>686</v>
      </c>
      <c r="X39" s="1">
        <v>44980</v>
      </c>
      <c r="Y39" s="3">
        <v>4126.97</v>
      </c>
      <c r="Z39" t="s">
        <v>652</v>
      </c>
      <c r="AA39" t="s">
        <v>650</v>
      </c>
    </row>
    <row r="40" spans="1:27" x14ac:dyDescent="0.35">
      <c r="A40" t="s">
        <v>89</v>
      </c>
      <c r="B40" t="s">
        <v>90</v>
      </c>
      <c r="C40" t="str">
        <f>VLOOKUP(B40,patients!$A:$K,2,FALSE)&amp;" "&amp;VLOOKUP('HOSPITAL MANAGEMENT DATA'!B40,patients!$A:$K,3,FALSE)</f>
        <v>Linda Johnson</v>
      </c>
      <c r="D40" t="str">
        <f>VLOOKUP(B40,patients!$A:$K,4,FALSE)</f>
        <v>M</v>
      </c>
      <c r="E40" s="1">
        <f>VLOOKUP(B40,patients!$A:$K,5,FALSE)</f>
        <v>34387</v>
      </c>
      <c r="F40">
        <f>VLOOKUP(B40,patients!$A:$K,6,FALSE)</f>
        <v>6141951830</v>
      </c>
      <c r="G40" t="str">
        <f>VLOOKUP(B40,patients!$A:$K,7,FALSE)</f>
        <v>789 Pine Rd</v>
      </c>
      <c r="H40" s="1">
        <f>VLOOKUP(B40,patients!$A:$K,8,FALSE)</f>
        <v>44557</v>
      </c>
      <c r="I40" t="str">
        <f>VLOOKUP(B40,patients!$A:$K,11,FALSE)</f>
        <v>linda.johnson@mail.com</v>
      </c>
      <c r="J40" t="s">
        <v>48</v>
      </c>
      <c r="K40" t="str">
        <f>VLOOKUP(J40,doctors!$A:$H,2,FALSE)&amp;" "&amp;VLOOKUP(J40,doctors!$A:$H,3,FALSE)</f>
        <v>Jane Davis</v>
      </c>
      <c r="L40" t="str">
        <f>VLOOKUP(J40,doctors!$A:$H,4,FALSE)</f>
        <v>Pediatrics</v>
      </c>
      <c r="M40">
        <f>VLOOKUP(J40,doctors!$A:$H,5,FALSE)</f>
        <v>9004382050</v>
      </c>
      <c r="N40" t="str">
        <f>VLOOKUP(J40,doctors!$A:$H,7,FALSE)</f>
        <v>Eastside Clinic</v>
      </c>
      <c r="O40" s="1">
        <v>45033</v>
      </c>
      <c r="P40" s="2">
        <v>0.33333333333333331</v>
      </c>
      <c r="Q40" t="s">
        <v>38</v>
      </c>
      <c r="R40" t="s">
        <v>11</v>
      </c>
      <c r="S40" t="s">
        <v>476</v>
      </c>
      <c r="T40" t="s">
        <v>444</v>
      </c>
      <c r="U40" s="3">
        <v>2976.02</v>
      </c>
      <c r="V40" s="1">
        <v>45033</v>
      </c>
      <c r="W40" t="s">
        <v>687</v>
      </c>
      <c r="X40" s="1">
        <v>45033</v>
      </c>
      <c r="Y40" s="3">
        <v>2976.02</v>
      </c>
      <c r="Z40" t="s">
        <v>644</v>
      </c>
      <c r="AA40" t="s">
        <v>650</v>
      </c>
    </row>
    <row r="41" spans="1:27" x14ac:dyDescent="0.35">
      <c r="A41" t="s">
        <v>91</v>
      </c>
      <c r="B41" t="s">
        <v>92</v>
      </c>
      <c r="C41" t="str">
        <f>VLOOKUP(B41,patients!$A:$K,2,FALSE)&amp;" "&amp;VLOOKUP('HOSPITAL MANAGEMENT DATA'!B41,patients!$A:$K,3,FALSE)</f>
        <v>Michael Taylor</v>
      </c>
      <c r="D41" t="str">
        <f>VLOOKUP(B41,patients!$A:$K,4,FALSE)</f>
        <v>M</v>
      </c>
      <c r="E41" s="1">
        <f>VLOOKUP(B41,patients!$A:$K,5,FALSE)</f>
        <v>37177</v>
      </c>
      <c r="F41">
        <f>VLOOKUP(B41,patients!$A:$K,6,FALSE)</f>
        <v>7081396733</v>
      </c>
      <c r="G41" t="str">
        <f>VLOOKUP(B41,patients!$A:$K,7,FALSE)</f>
        <v>123 Elm St</v>
      </c>
      <c r="H41" s="1">
        <f>VLOOKUP(B41,patients!$A:$K,8,FALSE)</f>
        <v>44797</v>
      </c>
      <c r="I41" t="str">
        <f>VLOOKUP(B41,patients!$A:$K,11,FALSE)</f>
        <v>michael.taylor@mail.com</v>
      </c>
      <c r="J41" t="s">
        <v>9</v>
      </c>
      <c r="K41" t="str">
        <f>VLOOKUP(J41,doctors!$A:$H,2,FALSE)&amp;" "&amp;VLOOKUP(J41,doctors!$A:$H,3,FALSE)</f>
        <v>Sarah Smith</v>
      </c>
      <c r="L41" t="str">
        <f>VLOOKUP(J41,doctors!$A:$H,4,FALSE)</f>
        <v>Pediatrics</v>
      </c>
      <c r="M41">
        <f>VLOOKUP(J41,doctors!$A:$H,5,FALSE)</f>
        <v>7387087517</v>
      </c>
      <c r="N41" t="str">
        <f>VLOOKUP(J41,doctors!$A:$H,7,FALSE)</f>
        <v>Central Hospital</v>
      </c>
      <c r="O41" s="1">
        <v>45012</v>
      </c>
      <c r="P41" s="2">
        <v>0.52083333333333337</v>
      </c>
      <c r="Q41" t="s">
        <v>10</v>
      </c>
      <c r="R41" t="s">
        <v>41</v>
      </c>
      <c r="S41" t="s">
        <v>477</v>
      </c>
      <c r="T41" t="s">
        <v>431</v>
      </c>
      <c r="U41" s="3">
        <v>695.36</v>
      </c>
      <c r="V41" s="1">
        <v>45012</v>
      </c>
      <c r="W41" t="s">
        <v>688</v>
      </c>
      <c r="X41" s="1">
        <v>45012</v>
      </c>
      <c r="Y41" s="3">
        <v>695.36</v>
      </c>
      <c r="Z41" t="s">
        <v>655</v>
      </c>
      <c r="AA41" t="s">
        <v>650</v>
      </c>
    </row>
    <row r="42" spans="1:27" x14ac:dyDescent="0.35">
      <c r="A42" t="s">
        <v>93</v>
      </c>
      <c r="B42" t="s">
        <v>40</v>
      </c>
      <c r="C42" t="str">
        <f>VLOOKUP(B42,patients!$A:$K,2,FALSE)&amp;" "&amp;VLOOKUP('HOSPITAL MANAGEMENT DATA'!B42,patients!$A:$K,3,FALSE)</f>
        <v>David Wilson</v>
      </c>
      <c r="D42" t="str">
        <f>VLOOKUP(B42,patients!$A:$K,4,FALSE)</f>
        <v>M</v>
      </c>
      <c r="E42" s="1">
        <f>VLOOKUP(B42,patients!$A:$K,5,FALSE)</f>
        <v>22090</v>
      </c>
      <c r="F42">
        <f>VLOOKUP(B42,patients!$A:$K,6,FALSE)</f>
        <v>7734463155</v>
      </c>
      <c r="G42" t="str">
        <f>VLOOKUP(B42,patients!$A:$K,7,FALSE)</f>
        <v>123 Elm St</v>
      </c>
      <c r="H42" s="1">
        <f>VLOOKUP(B42,patients!$A:$K,8,FALSE)</f>
        <v>44468</v>
      </c>
      <c r="I42" t="str">
        <f>VLOOKUP(B42,patients!$A:$K,11,FALSE)</f>
        <v>david.wilson@mail.com</v>
      </c>
      <c r="J42" t="s">
        <v>59</v>
      </c>
      <c r="K42" t="str">
        <f>VLOOKUP(J42,doctors!$A:$H,2,FALSE)&amp;" "&amp;VLOOKUP(J42,doctors!$A:$H,3,FALSE)</f>
        <v>David Taylor</v>
      </c>
      <c r="L42" t="str">
        <f>VLOOKUP(J42,doctors!$A:$H,4,FALSE)</f>
        <v>Dermatology</v>
      </c>
      <c r="M42">
        <f>VLOOKUP(J42,doctors!$A:$H,5,FALSE)</f>
        <v>8322010158</v>
      </c>
      <c r="N42" t="str">
        <f>VLOOKUP(J42,doctors!$A:$H,7,FALSE)</f>
        <v>Westside Clinic</v>
      </c>
      <c r="O42" s="1">
        <v>44927</v>
      </c>
      <c r="P42" s="2">
        <v>0.58333333333333337</v>
      </c>
      <c r="Q42" t="s">
        <v>26</v>
      </c>
      <c r="R42" t="s">
        <v>15</v>
      </c>
      <c r="S42" t="s">
        <v>478</v>
      </c>
      <c r="T42" t="s">
        <v>444</v>
      </c>
      <c r="U42" s="3">
        <v>3349.18</v>
      </c>
      <c r="V42" s="1">
        <v>44927</v>
      </c>
      <c r="W42" t="s">
        <v>689</v>
      </c>
      <c r="X42" s="1">
        <v>44927</v>
      </c>
      <c r="Y42" s="3">
        <v>3349.18</v>
      </c>
      <c r="Z42" t="s">
        <v>652</v>
      </c>
      <c r="AA42" t="s">
        <v>647</v>
      </c>
    </row>
    <row r="43" spans="1:27" x14ac:dyDescent="0.35">
      <c r="A43" t="s">
        <v>94</v>
      </c>
      <c r="B43" t="s">
        <v>84</v>
      </c>
      <c r="C43" t="str">
        <f>VLOOKUP(B43,patients!$A:$K,2,FALSE)&amp;" "&amp;VLOOKUP('HOSPITAL MANAGEMENT DATA'!B43,patients!$A:$K,3,FALSE)</f>
        <v>Michael Wilson</v>
      </c>
      <c r="D43" t="str">
        <f>VLOOKUP(B43,patients!$A:$K,4,FALSE)</f>
        <v>M</v>
      </c>
      <c r="E43" s="1">
        <f>VLOOKUP(B43,patients!$A:$K,5,FALSE)</f>
        <v>35790</v>
      </c>
      <c r="F43">
        <f>VLOOKUP(B43,patients!$A:$K,6,FALSE)</f>
        <v>8545613046</v>
      </c>
      <c r="G43" t="str">
        <f>VLOOKUP(B43,patients!$A:$K,7,FALSE)</f>
        <v>123 Elm St</v>
      </c>
      <c r="H43" s="1">
        <f>VLOOKUP(B43,patients!$A:$K,8,FALSE)</f>
        <v>44838</v>
      </c>
      <c r="I43" t="str">
        <f>VLOOKUP(B43,patients!$A:$K,11,FALSE)</f>
        <v>michael.wilson@mail.com</v>
      </c>
      <c r="J43" t="s">
        <v>59</v>
      </c>
      <c r="K43" t="str">
        <f>VLOOKUP(J43,doctors!$A:$H,2,FALSE)&amp;" "&amp;VLOOKUP(J43,doctors!$A:$H,3,FALSE)</f>
        <v>David Taylor</v>
      </c>
      <c r="L43" t="str">
        <f>VLOOKUP(J43,doctors!$A:$H,4,FALSE)</f>
        <v>Dermatology</v>
      </c>
      <c r="M43">
        <f>VLOOKUP(J43,doctors!$A:$H,5,FALSE)</f>
        <v>8322010158</v>
      </c>
      <c r="N43" t="str">
        <f>VLOOKUP(J43,doctors!$A:$H,7,FALSE)</f>
        <v>Westside Clinic</v>
      </c>
      <c r="O43" s="1">
        <v>45006</v>
      </c>
      <c r="P43" s="2">
        <v>0.46875</v>
      </c>
      <c r="Q43" t="s">
        <v>26</v>
      </c>
      <c r="R43" t="s">
        <v>11</v>
      </c>
      <c r="S43" t="s">
        <v>479</v>
      </c>
      <c r="T43" t="s">
        <v>431</v>
      </c>
      <c r="U43" s="3">
        <v>4781.32</v>
      </c>
      <c r="V43" s="1">
        <v>45006</v>
      </c>
      <c r="W43" t="s">
        <v>690</v>
      </c>
      <c r="X43" s="1">
        <v>45006</v>
      </c>
      <c r="Y43" s="3">
        <v>4781.32</v>
      </c>
      <c r="Z43" t="s">
        <v>644</v>
      </c>
      <c r="AA43" t="s">
        <v>645</v>
      </c>
    </row>
    <row r="44" spans="1:27" x14ac:dyDescent="0.35">
      <c r="A44" t="s">
        <v>95</v>
      </c>
      <c r="B44" t="s">
        <v>8</v>
      </c>
      <c r="C44" t="str">
        <f>VLOOKUP(B44,patients!$A:$K,2,FALSE)&amp;" "&amp;VLOOKUP('HOSPITAL MANAGEMENT DATA'!B44,patients!$A:$K,3,FALSE)</f>
        <v>Alex Smith</v>
      </c>
      <c r="D44" t="str">
        <f>VLOOKUP(B44,patients!$A:$K,4,FALSE)</f>
        <v>F</v>
      </c>
      <c r="E44" s="1">
        <f>VLOOKUP(B44,patients!$A:$K,5,FALSE)</f>
        <v>18289</v>
      </c>
      <c r="F44">
        <f>VLOOKUP(B44,patients!$A:$K,6,FALSE)</f>
        <v>8374657733</v>
      </c>
      <c r="G44" t="str">
        <f>VLOOKUP(B44,patients!$A:$K,7,FALSE)</f>
        <v>321 Maple Dr</v>
      </c>
      <c r="H44" s="1">
        <f>VLOOKUP(B44,patients!$A:$K,8,FALSE)</f>
        <v>45095</v>
      </c>
      <c r="I44" t="str">
        <f>VLOOKUP(B44,patients!$A:$K,11,FALSE)</f>
        <v>alex.smith@mail.com</v>
      </c>
      <c r="J44" t="s">
        <v>74</v>
      </c>
      <c r="K44" t="str">
        <f>VLOOKUP(J44,doctors!$A:$H,2,FALSE)&amp;" "&amp;VLOOKUP(J44,doctors!$A:$H,3,FALSE)</f>
        <v>Sarah Taylor</v>
      </c>
      <c r="L44" t="str">
        <f>VLOOKUP(J44,doctors!$A:$H,4,FALSE)</f>
        <v>Dermatology</v>
      </c>
      <c r="M44">
        <f>VLOOKUP(J44,doctors!$A:$H,5,FALSE)</f>
        <v>9118538547</v>
      </c>
      <c r="N44" t="str">
        <f>VLOOKUP(J44,doctors!$A:$H,7,FALSE)</f>
        <v>Central Hospital</v>
      </c>
      <c r="O44" s="1">
        <v>45014</v>
      </c>
      <c r="P44" s="2">
        <v>0.38541666666666669</v>
      </c>
      <c r="Q44" t="s">
        <v>18</v>
      </c>
      <c r="R44" t="s">
        <v>15</v>
      </c>
      <c r="S44" t="s">
        <v>480</v>
      </c>
      <c r="T44" t="s">
        <v>456</v>
      </c>
      <c r="U44" s="3">
        <v>3207.25</v>
      </c>
      <c r="V44" s="1">
        <v>45014</v>
      </c>
      <c r="W44" t="s">
        <v>691</v>
      </c>
      <c r="X44" s="1">
        <v>45014</v>
      </c>
      <c r="Y44" s="3">
        <v>3207.25</v>
      </c>
      <c r="Z44" t="s">
        <v>644</v>
      </c>
      <c r="AA44" t="s">
        <v>650</v>
      </c>
    </row>
    <row r="45" spans="1:27" x14ac:dyDescent="0.35">
      <c r="A45" t="s">
        <v>96</v>
      </c>
      <c r="B45" t="s">
        <v>97</v>
      </c>
      <c r="C45" t="str">
        <f>VLOOKUP(B45,patients!$A:$K,2,FALSE)&amp;" "&amp;VLOOKUP('HOSPITAL MANAGEMENT DATA'!B45,patients!$A:$K,3,FALSE)</f>
        <v>Robert Miller</v>
      </c>
      <c r="D45" t="str">
        <f>VLOOKUP(B45,patients!$A:$K,4,FALSE)</f>
        <v>M</v>
      </c>
      <c r="E45" s="1">
        <f>VLOOKUP(B45,patients!$A:$K,5,FALSE)</f>
        <v>31791</v>
      </c>
      <c r="F45">
        <f>VLOOKUP(B45,patients!$A:$K,6,FALSE)</f>
        <v>8280346676</v>
      </c>
      <c r="G45" t="str">
        <f>VLOOKUP(B45,patients!$A:$K,7,FALSE)</f>
        <v>321 Maple Dr</v>
      </c>
      <c r="H45" s="1">
        <f>VLOOKUP(B45,patients!$A:$K,8,FALSE)</f>
        <v>44740</v>
      </c>
      <c r="I45" t="str">
        <f>VLOOKUP(B45,patients!$A:$K,11,FALSE)</f>
        <v>robert.miller@mail.com</v>
      </c>
      <c r="J45" t="s">
        <v>22</v>
      </c>
      <c r="K45" t="str">
        <f>VLOOKUP(J45,doctors!$A:$H,2,FALSE)&amp;" "&amp;VLOOKUP(J45,doctors!$A:$H,3,FALSE)</f>
        <v>Alex Davis</v>
      </c>
      <c r="L45" t="str">
        <f>VLOOKUP(J45,doctors!$A:$H,4,FALSE)</f>
        <v>Pediatrics</v>
      </c>
      <c r="M45">
        <f>VLOOKUP(J45,doctors!$A:$H,5,FALSE)</f>
        <v>6570137231</v>
      </c>
      <c r="N45" t="str">
        <f>VLOOKUP(J45,doctors!$A:$H,7,FALSE)</f>
        <v>Central Hospital</v>
      </c>
      <c r="O45" s="1">
        <v>45189</v>
      </c>
      <c r="P45" s="2">
        <v>0.52083333333333337</v>
      </c>
      <c r="Q45" t="s">
        <v>38</v>
      </c>
      <c r="R45" t="s">
        <v>41</v>
      </c>
      <c r="S45" t="s">
        <v>481</v>
      </c>
      <c r="T45" t="s">
        <v>434</v>
      </c>
      <c r="U45" s="3">
        <v>4186.3500000000004</v>
      </c>
      <c r="V45" s="1">
        <v>45189</v>
      </c>
      <c r="W45" t="s">
        <v>692</v>
      </c>
      <c r="X45" s="1">
        <v>45189</v>
      </c>
      <c r="Y45" s="3">
        <v>4186.3500000000004</v>
      </c>
      <c r="Z45" t="s">
        <v>644</v>
      </c>
      <c r="AA45" t="s">
        <v>647</v>
      </c>
    </row>
    <row r="46" spans="1:27" x14ac:dyDescent="0.35">
      <c r="A46" t="s">
        <v>98</v>
      </c>
      <c r="B46" t="s">
        <v>92</v>
      </c>
      <c r="C46" t="str">
        <f>VLOOKUP(B46,patients!$A:$K,2,FALSE)&amp;" "&amp;VLOOKUP('HOSPITAL MANAGEMENT DATA'!B46,patients!$A:$K,3,FALSE)</f>
        <v>Michael Taylor</v>
      </c>
      <c r="D46" t="str">
        <f>VLOOKUP(B46,patients!$A:$K,4,FALSE)</f>
        <v>M</v>
      </c>
      <c r="E46" s="1">
        <f>VLOOKUP(B46,patients!$A:$K,5,FALSE)</f>
        <v>37177</v>
      </c>
      <c r="F46">
        <f>VLOOKUP(B46,patients!$A:$K,6,FALSE)</f>
        <v>7081396733</v>
      </c>
      <c r="G46" t="str">
        <f>VLOOKUP(B46,patients!$A:$K,7,FALSE)</f>
        <v>123 Elm St</v>
      </c>
      <c r="H46" s="1">
        <f>VLOOKUP(B46,patients!$A:$K,8,FALSE)</f>
        <v>44797</v>
      </c>
      <c r="I46" t="str">
        <f>VLOOKUP(B46,patients!$A:$K,11,FALSE)</f>
        <v>michael.taylor@mail.com</v>
      </c>
      <c r="J46" t="s">
        <v>22</v>
      </c>
      <c r="K46" t="str">
        <f>VLOOKUP(J46,doctors!$A:$H,2,FALSE)&amp;" "&amp;VLOOKUP(J46,doctors!$A:$H,3,FALSE)</f>
        <v>Alex Davis</v>
      </c>
      <c r="L46" t="str">
        <f>VLOOKUP(J46,doctors!$A:$H,4,FALSE)</f>
        <v>Pediatrics</v>
      </c>
      <c r="M46">
        <f>VLOOKUP(J46,doctors!$A:$H,5,FALSE)</f>
        <v>6570137231</v>
      </c>
      <c r="N46" t="str">
        <f>VLOOKUP(J46,doctors!$A:$H,7,FALSE)</f>
        <v>Central Hospital</v>
      </c>
      <c r="O46" s="1">
        <v>45197</v>
      </c>
      <c r="P46" s="2">
        <v>0.70833333333333337</v>
      </c>
      <c r="Q46" t="s">
        <v>26</v>
      </c>
      <c r="R46" t="s">
        <v>11</v>
      </c>
      <c r="S46" t="s">
        <v>482</v>
      </c>
      <c r="T46" t="s">
        <v>431</v>
      </c>
      <c r="U46" s="3">
        <v>4478.93</v>
      </c>
      <c r="V46" s="1">
        <v>45197</v>
      </c>
      <c r="W46" t="s">
        <v>693</v>
      </c>
      <c r="X46" s="1">
        <v>45197</v>
      </c>
      <c r="Y46" s="3">
        <v>4478.93</v>
      </c>
      <c r="Z46" t="s">
        <v>655</v>
      </c>
      <c r="AA46" t="s">
        <v>647</v>
      </c>
    </row>
    <row r="47" spans="1:27" x14ac:dyDescent="0.35">
      <c r="A47" t="s">
        <v>99</v>
      </c>
      <c r="B47" t="s">
        <v>100</v>
      </c>
      <c r="C47" t="str">
        <f>VLOOKUP(B47,patients!$A:$K,2,FALSE)&amp;" "&amp;VLOOKUP('HOSPITAL MANAGEMENT DATA'!B47,patients!$A:$K,3,FALSE)</f>
        <v>Sarah Miller</v>
      </c>
      <c r="D47" t="str">
        <f>VLOOKUP(B47,patients!$A:$K,4,FALSE)</f>
        <v>M</v>
      </c>
      <c r="E47" s="1">
        <f>VLOOKUP(B47,patients!$A:$K,5,FALSE)</f>
        <v>27538</v>
      </c>
      <c r="F47">
        <f>VLOOKUP(B47,patients!$A:$K,6,FALSE)</f>
        <v>8618058864</v>
      </c>
      <c r="G47" t="str">
        <f>VLOOKUP(B47,patients!$A:$K,7,FALSE)</f>
        <v>789 Pine Rd</v>
      </c>
      <c r="H47" s="1">
        <f>VLOOKUP(B47,patients!$A:$K,8,FALSE)</f>
        <v>45101</v>
      </c>
      <c r="I47" t="str">
        <f>VLOOKUP(B47,patients!$A:$K,11,FALSE)</f>
        <v>sarah.miller@mail.com</v>
      </c>
      <c r="J47" t="s">
        <v>25</v>
      </c>
      <c r="K47" t="str">
        <f>VLOOKUP(J47,doctors!$A:$H,2,FALSE)&amp;" "&amp;VLOOKUP(J47,doctors!$A:$H,3,FALSE)</f>
        <v>Jane Smith</v>
      </c>
      <c r="L47" t="str">
        <f>VLOOKUP(J47,doctors!$A:$H,4,FALSE)</f>
        <v>Pediatrics</v>
      </c>
      <c r="M47">
        <f>VLOOKUP(J47,doctors!$A:$H,5,FALSE)</f>
        <v>8737740598</v>
      </c>
      <c r="N47" t="str">
        <f>VLOOKUP(J47,doctors!$A:$H,7,FALSE)</f>
        <v>Eastside Clinic</v>
      </c>
      <c r="O47" s="1">
        <v>45280</v>
      </c>
      <c r="P47" s="2">
        <v>0.55208333333333337</v>
      </c>
      <c r="Q47" t="s">
        <v>18</v>
      </c>
      <c r="R47" t="s">
        <v>19</v>
      </c>
      <c r="S47" t="s">
        <v>483</v>
      </c>
      <c r="T47" t="s">
        <v>440</v>
      </c>
      <c r="U47" s="3">
        <v>1526.36</v>
      </c>
      <c r="V47" s="1">
        <v>45280</v>
      </c>
      <c r="W47" t="s">
        <v>694</v>
      </c>
      <c r="X47" s="1">
        <v>45280</v>
      </c>
      <c r="Y47" s="3">
        <v>1526.36</v>
      </c>
      <c r="Z47" t="s">
        <v>655</v>
      </c>
      <c r="AA47" t="s">
        <v>647</v>
      </c>
    </row>
    <row r="48" spans="1:27" x14ac:dyDescent="0.35">
      <c r="A48" t="s">
        <v>101</v>
      </c>
      <c r="B48" t="s">
        <v>13</v>
      </c>
      <c r="C48" t="str">
        <f>VLOOKUP(B48,patients!$A:$K,2,FALSE)&amp;" "&amp;VLOOKUP('HOSPITAL MANAGEMENT DATA'!B48,patients!$A:$K,3,FALSE)</f>
        <v>Alex Moore</v>
      </c>
      <c r="D48" t="str">
        <f>VLOOKUP(B48,patients!$A:$K,4,FALSE)</f>
        <v>M</v>
      </c>
      <c r="E48" s="1">
        <f>VLOOKUP(B48,patients!$A:$K,5,FALSE)</f>
        <v>29594</v>
      </c>
      <c r="F48">
        <f>VLOOKUP(B48,patients!$A:$K,6,FALSE)</f>
        <v>8102183595</v>
      </c>
      <c r="G48" t="str">
        <f>VLOOKUP(B48,patients!$A:$K,7,FALSE)</f>
        <v>123 Elm St</v>
      </c>
      <c r="H48" s="1">
        <f>VLOOKUP(B48,patients!$A:$K,8,FALSE)</f>
        <v>44471</v>
      </c>
      <c r="I48" t="str">
        <f>VLOOKUP(B48,patients!$A:$K,11,FALSE)</f>
        <v>alex.moore@mail.com</v>
      </c>
      <c r="J48" t="s">
        <v>32</v>
      </c>
      <c r="K48" t="str">
        <f>VLOOKUP(J48,doctors!$A:$H,2,FALSE)&amp;" "&amp;VLOOKUP(J48,doctors!$A:$H,3,FALSE)</f>
        <v>Robert Davis</v>
      </c>
      <c r="L48" t="str">
        <f>VLOOKUP(J48,doctors!$A:$H,4,FALSE)</f>
        <v>Oncology</v>
      </c>
      <c r="M48">
        <f>VLOOKUP(J48,doctors!$A:$H,5,FALSE)</f>
        <v>8217493115</v>
      </c>
      <c r="N48" t="str">
        <f>VLOOKUP(J48,doctors!$A:$H,7,FALSE)</f>
        <v>Westside Clinic</v>
      </c>
      <c r="O48" s="1">
        <v>45048</v>
      </c>
      <c r="P48" s="2">
        <v>0.45833333333333331</v>
      </c>
      <c r="Q48" t="s">
        <v>10</v>
      </c>
      <c r="R48" t="s">
        <v>41</v>
      </c>
      <c r="S48" t="s">
        <v>484</v>
      </c>
      <c r="T48" t="s">
        <v>440</v>
      </c>
      <c r="U48" s="3">
        <v>1454.2</v>
      </c>
      <c r="V48" s="1">
        <v>45048</v>
      </c>
      <c r="W48" t="s">
        <v>695</v>
      </c>
      <c r="X48" s="1">
        <v>45048</v>
      </c>
      <c r="Y48" s="3">
        <v>1454.2</v>
      </c>
      <c r="Z48" t="s">
        <v>644</v>
      </c>
      <c r="AA48" t="s">
        <v>650</v>
      </c>
    </row>
    <row r="49" spans="1:27" x14ac:dyDescent="0.35">
      <c r="A49" t="s">
        <v>102</v>
      </c>
      <c r="B49" t="s">
        <v>31</v>
      </c>
      <c r="C49" t="str">
        <f>VLOOKUP(B49,patients!$A:$K,2,FALSE)&amp;" "&amp;VLOOKUP('HOSPITAL MANAGEMENT DATA'!B49,patients!$A:$K,3,FALSE)</f>
        <v>David Williams</v>
      </c>
      <c r="D49" t="str">
        <f>VLOOKUP(B49,patients!$A:$K,4,FALSE)</f>
        <v>F</v>
      </c>
      <c r="E49" s="1">
        <f>VLOOKUP(B49,patients!$A:$K,5,FALSE)</f>
        <v>20244</v>
      </c>
      <c r="F49">
        <f>VLOOKUP(B49,patients!$A:$K,6,FALSE)</f>
        <v>6939585183</v>
      </c>
      <c r="G49" t="str">
        <f>VLOOKUP(B49,patients!$A:$K,7,FALSE)</f>
        <v>789 Pine Rd</v>
      </c>
      <c r="H49" s="1">
        <f>VLOOKUP(B49,patients!$A:$K,8,FALSE)</f>
        <v>44735</v>
      </c>
      <c r="I49" t="str">
        <f>VLOOKUP(B49,patients!$A:$K,11,FALSE)</f>
        <v>david.williams@mail.com</v>
      </c>
      <c r="J49" t="s">
        <v>9</v>
      </c>
      <c r="K49" t="str">
        <f>VLOOKUP(J49,doctors!$A:$H,2,FALSE)&amp;" "&amp;VLOOKUP(J49,doctors!$A:$H,3,FALSE)</f>
        <v>Sarah Smith</v>
      </c>
      <c r="L49" t="str">
        <f>VLOOKUP(J49,doctors!$A:$H,4,FALSE)</f>
        <v>Pediatrics</v>
      </c>
      <c r="M49">
        <f>VLOOKUP(J49,doctors!$A:$H,5,FALSE)</f>
        <v>7387087517</v>
      </c>
      <c r="N49" t="str">
        <f>VLOOKUP(J49,doctors!$A:$H,7,FALSE)</f>
        <v>Central Hospital</v>
      </c>
      <c r="O49" s="1">
        <v>44942</v>
      </c>
      <c r="P49" s="2">
        <v>0.65625</v>
      </c>
      <c r="Q49" t="s">
        <v>26</v>
      </c>
      <c r="R49" t="s">
        <v>19</v>
      </c>
      <c r="S49" t="s">
        <v>485</v>
      </c>
      <c r="T49" t="s">
        <v>431</v>
      </c>
      <c r="U49" s="3">
        <v>3249.41</v>
      </c>
      <c r="V49" s="1">
        <v>44942</v>
      </c>
      <c r="W49" t="s">
        <v>696</v>
      </c>
      <c r="X49" s="1">
        <v>44942</v>
      </c>
      <c r="Y49" s="3">
        <v>3249.41</v>
      </c>
      <c r="Z49" t="s">
        <v>652</v>
      </c>
      <c r="AA49" t="s">
        <v>650</v>
      </c>
    </row>
    <row r="50" spans="1:27" x14ac:dyDescent="0.35">
      <c r="A50" t="s">
        <v>103</v>
      </c>
      <c r="B50" t="s">
        <v>40</v>
      </c>
      <c r="C50" t="str">
        <f>VLOOKUP(B50,patients!$A:$K,2,FALSE)&amp;" "&amp;VLOOKUP('HOSPITAL MANAGEMENT DATA'!B50,patients!$A:$K,3,FALSE)</f>
        <v>David Wilson</v>
      </c>
      <c r="D50" t="str">
        <f>VLOOKUP(B50,patients!$A:$K,4,FALSE)</f>
        <v>M</v>
      </c>
      <c r="E50" s="1">
        <f>VLOOKUP(B50,patients!$A:$K,5,FALSE)</f>
        <v>22090</v>
      </c>
      <c r="F50">
        <f>VLOOKUP(B50,patients!$A:$K,6,FALSE)</f>
        <v>7734463155</v>
      </c>
      <c r="G50" t="str">
        <f>VLOOKUP(B50,patients!$A:$K,7,FALSE)</f>
        <v>123 Elm St</v>
      </c>
      <c r="H50" s="1">
        <f>VLOOKUP(B50,patients!$A:$K,8,FALSE)</f>
        <v>44468</v>
      </c>
      <c r="I50" t="str">
        <f>VLOOKUP(B50,patients!$A:$K,11,FALSE)</f>
        <v>david.wilson@mail.com</v>
      </c>
      <c r="J50" t="s">
        <v>35</v>
      </c>
      <c r="K50" t="str">
        <f>VLOOKUP(J50,doctors!$A:$H,2,FALSE)&amp;" "&amp;VLOOKUP(J50,doctors!$A:$H,3,FALSE)</f>
        <v>Linda Wilson</v>
      </c>
      <c r="L50" t="str">
        <f>VLOOKUP(J50,doctors!$A:$H,4,FALSE)</f>
        <v>Oncology</v>
      </c>
      <c r="M50">
        <f>VLOOKUP(J50,doctors!$A:$H,5,FALSE)</f>
        <v>6176383634</v>
      </c>
      <c r="N50" t="str">
        <f>VLOOKUP(J50,doctors!$A:$H,7,FALSE)</f>
        <v>Eastside Clinic</v>
      </c>
      <c r="O50" s="1">
        <v>45046</v>
      </c>
      <c r="P50" s="2">
        <v>0.64583333333333337</v>
      </c>
      <c r="Q50" t="s">
        <v>18</v>
      </c>
      <c r="R50" t="s">
        <v>15</v>
      </c>
      <c r="S50" t="s">
        <v>486</v>
      </c>
      <c r="T50" t="s">
        <v>431</v>
      </c>
      <c r="U50" s="3">
        <v>2349.63</v>
      </c>
      <c r="V50" s="1">
        <v>45046</v>
      </c>
      <c r="W50" t="s">
        <v>697</v>
      </c>
      <c r="X50" s="1">
        <v>45046</v>
      </c>
      <c r="Y50" s="3">
        <v>2349.63</v>
      </c>
      <c r="Z50" t="s">
        <v>652</v>
      </c>
      <c r="AA50" t="s">
        <v>645</v>
      </c>
    </row>
    <row r="51" spans="1:27" x14ac:dyDescent="0.35">
      <c r="A51" t="s">
        <v>104</v>
      </c>
      <c r="B51" t="s">
        <v>28</v>
      </c>
      <c r="C51" t="str">
        <f>VLOOKUP(B51,patients!$A:$K,2,FALSE)&amp;" "&amp;VLOOKUP('HOSPITAL MANAGEMENT DATA'!B51,patients!$A:$K,3,FALSE)</f>
        <v>Linda Miller</v>
      </c>
      <c r="D51" t="str">
        <f>VLOOKUP(B51,patients!$A:$K,4,FALSE)</f>
        <v>F</v>
      </c>
      <c r="E51" s="1">
        <f>VLOOKUP(B51,patients!$A:$K,5,FALSE)</f>
        <v>24222</v>
      </c>
      <c r="F51">
        <f>VLOOKUP(B51,patients!$A:$K,6,FALSE)</f>
        <v>7579616535</v>
      </c>
      <c r="G51" t="str">
        <f>VLOOKUP(B51,patients!$A:$K,7,FALSE)</f>
        <v>321 Maple Dr</v>
      </c>
      <c r="H51" s="1">
        <f>VLOOKUP(B51,patients!$A:$K,8,FALSE)</f>
        <v>44219</v>
      </c>
      <c r="I51" t="str">
        <f>VLOOKUP(B51,patients!$A:$K,11,FALSE)</f>
        <v>linda.miller@mail.com</v>
      </c>
      <c r="J51" t="s">
        <v>54</v>
      </c>
      <c r="K51" t="str">
        <f>VLOOKUP(J51,doctors!$A:$H,2,FALSE)&amp;" "&amp;VLOOKUP(J51,doctors!$A:$H,3,FALSE)</f>
        <v>Linda Brown</v>
      </c>
      <c r="L51" t="str">
        <f>VLOOKUP(J51,doctors!$A:$H,4,FALSE)</f>
        <v>Dermatology</v>
      </c>
      <c r="M51">
        <f>VLOOKUP(J51,doctors!$A:$H,5,FALSE)</f>
        <v>9069162601</v>
      </c>
      <c r="N51" t="str">
        <f>VLOOKUP(J51,doctors!$A:$H,7,FALSE)</f>
        <v>Westside Clinic</v>
      </c>
      <c r="O51" s="1">
        <v>45154</v>
      </c>
      <c r="P51" s="2">
        <v>0.625</v>
      </c>
      <c r="Q51" t="s">
        <v>18</v>
      </c>
      <c r="R51" t="s">
        <v>15</v>
      </c>
      <c r="S51" t="s">
        <v>487</v>
      </c>
      <c r="T51" t="s">
        <v>431</v>
      </c>
      <c r="U51" s="3">
        <v>4279.38</v>
      </c>
      <c r="V51" s="1">
        <v>45154</v>
      </c>
      <c r="W51" t="s">
        <v>698</v>
      </c>
      <c r="X51" s="1">
        <v>45154</v>
      </c>
      <c r="Y51" s="3">
        <v>4279.38</v>
      </c>
      <c r="Z51" t="s">
        <v>655</v>
      </c>
      <c r="AA51" t="s">
        <v>650</v>
      </c>
    </row>
    <row r="52" spans="1:27" x14ac:dyDescent="0.35">
      <c r="A52" t="s">
        <v>105</v>
      </c>
      <c r="B52" t="s">
        <v>106</v>
      </c>
      <c r="C52" t="str">
        <f>VLOOKUP(B52,patients!$A:$K,2,FALSE)&amp;" "&amp;VLOOKUP('HOSPITAL MANAGEMENT DATA'!B52,patients!$A:$K,3,FALSE)</f>
        <v>Michael Johnson</v>
      </c>
      <c r="D52" t="str">
        <f>VLOOKUP(B52,patients!$A:$K,4,FALSE)</f>
        <v>F</v>
      </c>
      <c r="E52" s="1">
        <f>VLOOKUP(B52,patients!$A:$K,5,FALSE)</f>
        <v>29637</v>
      </c>
      <c r="F52">
        <f>VLOOKUP(B52,patients!$A:$K,6,FALSE)</f>
        <v>9019443432</v>
      </c>
      <c r="G52" t="str">
        <f>VLOOKUP(B52,patients!$A:$K,7,FALSE)</f>
        <v>123 Elm St</v>
      </c>
      <c r="H52" s="1">
        <f>VLOOKUP(B52,patients!$A:$K,8,FALSE)</f>
        <v>44257</v>
      </c>
      <c r="I52" t="str">
        <f>VLOOKUP(B52,patients!$A:$K,11,FALSE)</f>
        <v>michael.johnson@mail.com</v>
      </c>
      <c r="J52" t="s">
        <v>22</v>
      </c>
      <c r="K52" t="str">
        <f>VLOOKUP(J52,doctors!$A:$H,2,FALSE)&amp;" "&amp;VLOOKUP(J52,doctors!$A:$H,3,FALSE)</f>
        <v>Alex Davis</v>
      </c>
      <c r="L52" t="str">
        <f>VLOOKUP(J52,doctors!$A:$H,4,FALSE)</f>
        <v>Pediatrics</v>
      </c>
      <c r="M52">
        <f>VLOOKUP(J52,doctors!$A:$H,5,FALSE)</f>
        <v>6570137231</v>
      </c>
      <c r="N52" t="str">
        <f>VLOOKUP(J52,doctors!$A:$H,7,FALSE)</f>
        <v>Central Hospital</v>
      </c>
      <c r="O52" s="1">
        <v>44961</v>
      </c>
      <c r="P52" s="2">
        <v>0.48958333333333331</v>
      </c>
      <c r="Q52" t="s">
        <v>29</v>
      </c>
      <c r="R52" t="s">
        <v>41</v>
      </c>
      <c r="S52" t="s">
        <v>488</v>
      </c>
      <c r="T52" t="s">
        <v>440</v>
      </c>
      <c r="U52" s="3">
        <v>4550.1000000000004</v>
      </c>
      <c r="V52" s="1">
        <v>44961</v>
      </c>
      <c r="W52" t="s">
        <v>699</v>
      </c>
      <c r="X52" s="1">
        <v>44961</v>
      </c>
      <c r="Y52" s="3">
        <v>4550.1000000000004</v>
      </c>
      <c r="Z52" t="s">
        <v>652</v>
      </c>
      <c r="AA52" t="s">
        <v>650</v>
      </c>
    </row>
    <row r="53" spans="1:27" x14ac:dyDescent="0.35">
      <c r="A53" t="s">
        <v>107</v>
      </c>
      <c r="B53" t="s">
        <v>34</v>
      </c>
      <c r="C53" t="str">
        <f>VLOOKUP(B53,patients!$A:$K,2,FALSE)&amp;" "&amp;VLOOKUP('HOSPITAL MANAGEMENT DATA'!B53,patients!$A:$K,3,FALSE)</f>
        <v>Michael Taylor</v>
      </c>
      <c r="D53" t="str">
        <f>VLOOKUP(B53,patients!$A:$K,4,FALSE)</f>
        <v>M</v>
      </c>
      <c r="E53" s="1">
        <f>VLOOKUP(B53,patients!$A:$K,5,FALSE)</f>
        <v>36729</v>
      </c>
      <c r="F53">
        <f>VLOOKUP(B53,patients!$A:$K,6,FALSE)</f>
        <v>7223380592</v>
      </c>
      <c r="G53" t="str">
        <f>VLOOKUP(B53,patients!$A:$K,7,FALSE)</f>
        <v>789 Pine Rd</v>
      </c>
      <c r="H53" s="1">
        <f>VLOOKUP(B53,patients!$A:$K,8,FALSE)</f>
        <v>44400</v>
      </c>
      <c r="I53" t="str">
        <f>VLOOKUP(B53,patients!$A:$K,11,FALSE)</f>
        <v>michael.taylor@mail.com</v>
      </c>
      <c r="J53" t="s">
        <v>54</v>
      </c>
      <c r="K53" t="str">
        <f>VLOOKUP(J53,doctors!$A:$H,2,FALSE)&amp;" "&amp;VLOOKUP(J53,doctors!$A:$H,3,FALSE)</f>
        <v>Linda Brown</v>
      </c>
      <c r="L53" t="str">
        <f>VLOOKUP(J53,doctors!$A:$H,4,FALSE)</f>
        <v>Dermatology</v>
      </c>
      <c r="M53">
        <f>VLOOKUP(J53,doctors!$A:$H,5,FALSE)</f>
        <v>9069162601</v>
      </c>
      <c r="N53" t="str">
        <f>VLOOKUP(J53,doctors!$A:$H,7,FALSE)</f>
        <v>Westside Clinic</v>
      </c>
      <c r="O53" s="1">
        <v>45119</v>
      </c>
      <c r="P53" s="2">
        <v>0.39583333333333331</v>
      </c>
      <c r="Q53" t="s">
        <v>10</v>
      </c>
      <c r="R53" t="s">
        <v>15</v>
      </c>
      <c r="S53" t="s">
        <v>489</v>
      </c>
      <c r="T53" t="s">
        <v>440</v>
      </c>
      <c r="U53" s="3">
        <v>2090.4</v>
      </c>
      <c r="V53" s="1">
        <v>45119</v>
      </c>
      <c r="W53" t="s">
        <v>700</v>
      </c>
      <c r="X53" s="1">
        <v>45119</v>
      </c>
      <c r="Y53" s="3">
        <v>2090.4</v>
      </c>
      <c r="Z53" t="s">
        <v>655</v>
      </c>
      <c r="AA53" t="s">
        <v>647</v>
      </c>
    </row>
    <row r="54" spans="1:27" x14ac:dyDescent="0.35">
      <c r="A54" t="s">
        <v>108</v>
      </c>
      <c r="B54" t="s">
        <v>109</v>
      </c>
      <c r="C54" t="str">
        <f>VLOOKUP(B54,patients!$A:$K,2,FALSE)&amp;" "&amp;VLOOKUP('HOSPITAL MANAGEMENT DATA'!B54,patients!$A:$K,3,FALSE)</f>
        <v>Sarah Brown</v>
      </c>
      <c r="D54" t="str">
        <f>VLOOKUP(B54,patients!$A:$K,4,FALSE)</f>
        <v>F</v>
      </c>
      <c r="E54" s="1">
        <f>VLOOKUP(B54,patients!$A:$K,5,FALSE)</f>
        <v>33546</v>
      </c>
      <c r="F54">
        <f>VLOOKUP(B54,patients!$A:$K,6,FALSE)</f>
        <v>7196777444</v>
      </c>
      <c r="G54" t="str">
        <f>VLOOKUP(B54,patients!$A:$K,7,FALSE)</f>
        <v>321 Maple Dr</v>
      </c>
      <c r="H54" s="1">
        <f>VLOOKUP(B54,patients!$A:$K,8,FALSE)</f>
        <v>44441</v>
      </c>
      <c r="I54" t="str">
        <f>VLOOKUP(B54,patients!$A:$K,11,FALSE)</f>
        <v>sarah.brown@mail.com</v>
      </c>
      <c r="J54" t="s">
        <v>74</v>
      </c>
      <c r="K54" t="str">
        <f>VLOOKUP(J54,doctors!$A:$H,2,FALSE)&amp;" "&amp;VLOOKUP(J54,doctors!$A:$H,3,FALSE)</f>
        <v>Sarah Taylor</v>
      </c>
      <c r="L54" t="str">
        <f>VLOOKUP(J54,doctors!$A:$H,4,FALSE)</f>
        <v>Dermatology</v>
      </c>
      <c r="M54">
        <f>VLOOKUP(J54,doctors!$A:$H,5,FALSE)</f>
        <v>9118538547</v>
      </c>
      <c r="N54" t="str">
        <f>VLOOKUP(J54,doctors!$A:$H,7,FALSE)</f>
        <v>Central Hospital</v>
      </c>
      <c r="O54" s="1">
        <v>44969</v>
      </c>
      <c r="P54" s="2">
        <v>0.4375</v>
      </c>
      <c r="Q54" t="s">
        <v>29</v>
      </c>
      <c r="R54" t="s">
        <v>19</v>
      </c>
      <c r="S54" t="s">
        <v>490</v>
      </c>
      <c r="T54" t="s">
        <v>431</v>
      </c>
      <c r="U54" s="3">
        <v>1565.92</v>
      </c>
      <c r="V54" s="1">
        <v>44969</v>
      </c>
      <c r="W54" t="s">
        <v>701</v>
      </c>
      <c r="X54" s="1">
        <v>44969</v>
      </c>
      <c r="Y54" s="3">
        <v>1565.92</v>
      </c>
      <c r="Z54" t="s">
        <v>644</v>
      </c>
      <c r="AA54" t="s">
        <v>645</v>
      </c>
    </row>
    <row r="55" spans="1:27" x14ac:dyDescent="0.35">
      <c r="A55" t="s">
        <v>110</v>
      </c>
      <c r="B55" t="s">
        <v>34</v>
      </c>
      <c r="C55" t="str">
        <f>VLOOKUP(B55,patients!$A:$K,2,FALSE)&amp;" "&amp;VLOOKUP('HOSPITAL MANAGEMENT DATA'!B55,patients!$A:$K,3,FALSE)</f>
        <v>Michael Taylor</v>
      </c>
      <c r="D55" t="str">
        <f>VLOOKUP(B55,patients!$A:$K,4,FALSE)</f>
        <v>M</v>
      </c>
      <c r="E55" s="1">
        <f>VLOOKUP(B55,patients!$A:$K,5,FALSE)</f>
        <v>36729</v>
      </c>
      <c r="F55">
        <f>VLOOKUP(B55,patients!$A:$K,6,FALSE)</f>
        <v>7223380592</v>
      </c>
      <c r="G55" t="str">
        <f>VLOOKUP(B55,patients!$A:$K,7,FALSE)</f>
        <v>789 Pine Rd</v>
      </c>
      <c r="H55" s="1">
        <f>VLOOKUP(B55,patients!$A:$K,8,FALSE)</f>
        <v>44400</v>
      </c>
      <c r="I55" t="str">
        <f>VLOOKUP(B55,patients!$A:$K,11,FALSE)</f>
        <v>michael.taylor@mail.com</v>
      </c>
      <c r="J55" t="s">
        <v>54</v>
      </c>
      <c r="K55" t="str">
        <f>VLOOKUP(J55,doctors!$A:$H,2,FALSE)&amp;" "&amp;VLOOKUP(J55,doctors!$A:$H,3,FALSE)</f>
        <v>Linda Brown</v>
      </c>
      <c r="L55" t="str">
        <f>VLOOKUP(J55,doctors!$A:$H,4,FALSE)</f>
        <v>Dermatology</v>
      </c>
      <c r="M55">
        <f>VLOOKUP(J55,doctors!$A:$H,5,FALSE)</f>
        <v>9069162601</v>
      </c>
      <c r="N55" t="str">
        <f>VLOOKUP(J55,doctors!$A:$H,7,FALSE)</f>
        <v>Westside Clinic</v>
      </c>
      <c r="O55" s="1">
        <v>45276</v>
      </c>
      <c r="P55" s="2">
        <v>0.48958333333333331</v>
      </c>
      <c r="Q55" t="s">
        <v>38</v>
      </c>
      <c r="R55" t="s">
        <v>11</v>
      </c>
      <c r="S55" t="s">
        <v>491</v>
      </c>
      <c r="T55" t="s">
        <v>444</v>
      </c>
      <c r="U55" s="3">
        <v>4012.36</v>
      </c>
      <c r="V55" s="1">
        <v>45276</v>
      </c>
      <c r="W55" t="s">
        <v>702</v>
      </c>
      <c r="X55" s="1">
        <v>45276</v>
      </c>
      <c r="Y55" s="3">
        <v>4012.36</v>
      </c>
      <c r="Z55" t="s">
        <v>655</v>
      </c>
      <c r="AA55" t="s">
        <v>650</v>
      </c>
    </row>
    <row r="56" spans="1:27" x14ac:dyDescent="0.35">
      <c r="A56" t="s">
        <v>111</v>
      </c>
      <c r="B56" t="s">
        <v>112</v>
      </c>
      <c r="C56" t="str">
        <f>VLOOKUP(B56,patients!$A:$K,2,FALSE)&amp;" "&amp;VLOOKUP('HOSPITAL MANAGEMENT DATA'!B56,patients!$A:$K,3,FALSE)</f>
        <v>Emily Smith</v>
      </c>
      <c r="D56" t="str">
        <f>VLOOKUP(B56,patients!$A:$K,4,FALSE)</f>
        <v>F</v>
      </c>
      <c r="E56" s="1">
        <f>VLOOKUP(B56,patients!$A:$K,5,FALSE)</f>
        <v>30967</v>
      </c>
      <c r="F56">
        <f>VLOOKUP(B56,patients!$A:$K,6,FALSE)</f>
        <v>8228188767</v>
      </c>
      <c r="G56" t="str">
        <f>VLOOKUP(B56,patients!$A:$K,7,FALSE)</f>
        <v>321 Maple Dr</v>
      </c>
      <c r="H56" s="1">
        <f>VLOOKUP(B56,patients!$A:$K,8,FALSE)</f>
        <v>44576</v>
      </c>
      <c r="I56" t="str">
        <f>VLOOKUP(B56,patients!$A:$K,11,FALSE)</f>
        <v>emily.smith@mail.com</v>
      </c>
      <c r="J56" t="s">
        <v>35</v>
      </c>
      <c r="K56" t="str">
        <f>VLOOKUP(J56,doctors!$A:$H,2,FALSE)&amp;" "&amp;VLOOKUP(J56,doctors!$A:$H,3,FALSE)</f>
        <v>Linda Wilson</v>
      </c>
      <c r="L56" t="str">
        <f>VLOOKUP(J56,doctors!$A:$H,4,FALSE)</f>
        <v>Oncology</v>
      </c>
      <c r="M56">
        <f>VLOOKUP(J56,doctors!$A:$H,5,FALSE)</f>
        <v>6176383634</v>
      </c>
      <c r="N56" t="str">
        <f>VLOOKUP(J56,doctors!$A:$H,7,FALSE)</f>
        <v>Eastside Clinic</v>
      </c>
      <c r="O56" s="1">
        <v>45205</v>
      </c>
      <c r="P56" s="2">
        <v>0.72916666666666663</v>
      </c>
      <c r="Q56" t="s">
        <v>29</v>
      </c>
      <c r="R56" t="s">
        <v>11</v>
      </c>
      <c r="S56" t="s">
        <v>492</v>
      </c>
      <c r="T56" t="s">
        <v>444</v>
      </c>
      <c r="U56" s="3">
        <v>1736.63</v>
      </c>
      <c r="V56" s="1">
        <v>45205</v>
      </c>
      <c r="W56" t="s">
        <v>703</v>
      </c>
      <c r="X56" s="1">
        <v>45205</v>
      </c>
      <c r="Y56" s="3">
        <v>1736.63</v>
      </c>
      <c r="Z56" t="s">
        <v>655</v>
      </c>
      <c r="AA56" t="s">
        <v>650</v>
      </c>
    </row>
    <row r="57" spans="1:27" x14ac:dyDescent="0.35">
      <c r="A57" t="s">
        <v>113</v>
      </c>
      <c r="B57" t="s">
        <v>68</v>
      </c>
      <c r="C57" t="str">
        <f>VLOOKUP(B57,patients!$A:$K,2,FALSE)&amp;" "&amp;VLOOKUP('HOSPITAL MANAGEMENT DATA'!B57,patients!$A:$K,3,FALSE)</f>
        <v>David Moore</v>
      </c>
      <c r="D57" t="str">
        <f>VLOOKUP(B57,patients!$A:$K,4,FALSE)</f>
        <v>M</v>
      </c>
      <c r="E57" s="1">
        <f>VLOOKUP(B57,patients!$A:$K,5,FALSE)</f>
        <v>26629</v>
      </c>
      <c r="F57">
        <f>VLOOKUP(B57,patients!$A:$K,6,FALSE)</f>
        <v>7712937941</v>
      </c>
      <c r="G57" t="str">
        <f>VLOOKUP(B57,patients!$A:$K,7,FALSE)</f>
        <v>321 Maple Dr</v>
      </c>
      <c r="H57" s="1">
        <f>VLOOKUP(B57,patients!$A:$K,8,FALSE)</f>
        <v>45091</v>
      </c>
      <c r="I57" t="str">
        <f>VLOOKUP(B57,patients!$A:$K,11,FALSE)</f>
        <v>david.moore@mail.com</v>
      </c>
      <c r="J57" t="s">
        <v>14</v>
      </c>
      <c r="K57" t="str">
        <f>VLOOKUP(J57,doctors!$A:$H,2,FALSE)&amp;" "&amp;VLOOKUP(J57,doctors!$A:$H,3,FALSE)</f>
        <v>David Jones</v>
      </c>
      <c r="L57" t="str">
        <f>VLOOKUP(J57,doctors!$A:$H,4,FALSE)</f>
        <v>Pediatrics</v>
      </c>
      <c r="M57">
        <f>VLOOKUP(J57,doctors!$A:$H,5,FALSE)</f>
        <v>6594221991</v>
      </c>
      <c r="N57" t="str">
        <f>VLOOKUP(J57,doctors!$A:$H,7,FALSE)</f>
        <v>Central Hospital</v>
      </c>
      <c r="O57" s="1">
        <v>44928</v>
      </c>
      <c r="P57" s="2">
        <v>0.53125</v>
      </c>
      <c r="Q57" t="s">
        <v>29</v>
      </c>
      <c r="R57" t="s">
        <v>11</v>
      </c>
      <c r="S57" t="s">
        <v>493</v>
      </c>
      <c r="T57" t="s">
        <v>456</v>
      </c>
      <c r="U57" s="3">
        <v>4201.76</v>
      </c>
      <c r="V57" s="1">
        <v>44928</v>
      </c>
      <c r="W57" t="s">
        <v>704</v>
      </c>
      <c r="X57" s="1">
        <v>44928</v>
      </c>
      <c r="Y57" s="3">
        <v>4201.76</v>
      </c>
      <c r="Z57" t="s">
        <v>644</v>
      </c>
      <c r="AA57" t="s">
        <v>647</v>
      </c>
    </row>
    <row r="58" spans="1:27" x14ac:dyDescent="0.35">
      <c r="A58" t="s">
        <v>114</v>
      </c>
      <c r="B58" t="s">
        <v>63</v>
      </c>
      <c r="C58" t="str">
        <f>VLOOKUP(B58,patients!$A:$K,2,FALSE)&amp;" "&amp;VLOOKUP('HOSPITAL MANAGEMENT DATA'!B58,patients!$A:$K,3,FALSE)</f>
        <v>Alex Moore</v>
      </c>
      <c r="D58" t="str">
        <f>VLOOKUP(B58,patients!$A:$K,4,FALSE)</f>
        <v>M</v>
      </c>
      <c r="E58" s="1">
        <f>VLOOKUP(B58,patients!$A:$K,5,FALSE)</f>
        <v>34072</v>
      </c>
      <c r="F58">
        <f>VLOOKUP(B58,patients!$A:$K,6,FALSE)</f>
        <v>7028910482</v>
      </c>
      <c r="G58" t="str">
        <f>VLOOKUP(B58,patients!$A:$K,7,FALSE)</f>
        <v>321 Maple Dr</v>
      </c>
      <c r="H58" s="1">
        <f>VLOOKUP(B58,patients!$A:$K,8,FALSE)</f>
        <v>45066</v>
      </c>
      <c r="I58" t="str">
        <f>VLOOKUP(B58,patients!$A:$K,11,FALSE)</f>
        <v>alex.moore@mail.com</v>
      </c>
      <c r="J58" t="s">
        <v>35</v>
      </c>
      <c r="K58" t="str">
        <f>VLOOKUP(J58,doctors!$A:$H,2,FALSE)&amp;" "&amp;VLOOKUP(J58,doctors!$A:$H,3,FALSE)</f>
        <v>Linda Wilson</v>
      </c>
      <c r="L58" t="str">
        <f>VLOOKUP(J58,doctors!$A:$H,4,FALSE)</f>
        <v>Oncology</v>
      </c>
      <c r="M58">
        <f>VLOOKUP(J58,doctors!$A:$H,5,FALSE)</f>
        <v>6176383634</v>
      </c>
      <c r="N58" t="str">
        <f>VLOOKUP(J58,doctors!$A:$H,7,FALSE)</f>
        <v>Eastside Clinic</v>
      </c>
      <c r="O58" s="1">
        <v>45031</v>
      </c>
      <c r="P58" s="2">
        <v>0.73958333333333337</v>
      </c>
      <c r="Q58" t="s">
        <v>26</v>
      </c>
      <c r="R58" t="s">
        <v>41</v>
      </c>
      <c r="S58" t="s">
        <v>494</v>
      </c>
      <c r="T58" t="s">
        <v>434</v>
      </c>
      <c r="U58" s="3">
        <v>2406.8200000000002</v>
      </c>
      <c r="V58" s="1">
        <v>45031</v>
      </c>
      <c r="W58" t="s">
        <v>705</v>
      </c>
      <c r="X58" s="1">
        <v>45031</v>
      </c>
      <c r="Y58" s="3">
        <v>2406.8200000000002</v>
      </c>
      <c r="Z58" t="s">
        <v>652</v>
      </c>
      <c r="AA58" t="s">
        <v>647</v>
      </c>
    </row>
    <row r="59" spans="1:27" x14ac:dyDescent="0.35">
      <c r="A59" t="s">
        <v>115</v>
      </c>
      <c r="B59" t="s">
        <v>13</v>
      </c>
      <c r="C59" t="str">
        <f>VLOOKUP(B59,patients!$A:$K,2,FALSE)&amp;" "&amp;VLOOKUP('HOSPITAL MANAGEMENT DATA'!B59,patients!$A:$K,3,FALSE)</f>
        <v>Alex Moore</v>
      </c>
      <c r="D59" t="str">
        <f>VLOOKUP(B59,patients!$A:$K,4,FALSE)</f>
        <v>M</v>
      </c>
      <c r="E59" s="1">
        <f>VLOOKUP(B59,patients!$A:$K,5,FALSE)</f>
        <v>29594</v>
      </c>
      <c r="F59">
        <f>VLOOKUP(B59,patients!$A:$K,6,FALSE)</f>
        <v>8102183595</v>
      </c>
      <c r="G59" t="str">
        <f>VLOOKUP(B59,patients!$A:$K,7,FALSE)</f>
        <v>123 Elm St</v>
      </c>
      <c r="H59" s="1">
        <f>VLOOKUP(B59,patients!$A:$K,8,FALSE)</f>
        <v>44471</v>
      </c>
      <c r="I59" t="str">
        <f>VLOOKUP(B59,patients!$A:$K,11,FALSE)</f>
        <v>alex.moore@mail.com</v>
      </c>
      <c r="J59" t="s">
        <v>54</v>
      </c>
      <c r="K59" t="str">
        <f>VLOOKUP(J59,doctors!$A:$H,2,FALSE)&amp;" "&amp;VLOOKUP(J59,doctors!$A:$H,3,FALSE)</f>
        <v>Linda Brown</v>
      </c>
      <c r="L59" t="str">
        <f>VLOOKUP(J59,doctors!$A:$H,4,FALSE)</f>
        <v>Dermatology</v>
      </c>
      <c r="M59">
        <f>VLOOKUP(J59,doctors!$A:$H,5,FALSE)</f>
        <v>9069162601</v>
      </c>
      <c r="N59" t="str">
        <f>VLOOKUP(J59,doctors!$A:$H,7,FALSE)</f>
        <v>Westside Clinic</v>
      </c>
      <c r="O59" s="1">
        <v>45055</v>
      </c>
      <c r="P59" s="2">
        <v>0.55208333333333337</v>
      </c>
      <c r="Q59" t="s">
        <v>18</v>
      </c>
      <c r="R59" t="s">
        <v>15</v>
      </c>
      <c r="S59" t="s">
        <v>495</v>
      </c>
      <c r="T59" t="s">
        <v>444</v>
      </c>
      <c r="U59" s="3">
        <v>3503.97</v>
      </c>
      <c r="V59" s="1">
        <v>45055</v>
      </c>
      <c r="W59" t="s">
        <v>706</v>
      </c>
      <c r="X59" s="1">
        <v>45055</v>
      </c>
      <c r="Y59" s="3">
        <v>3503.97</v>
      </c>
      <c r="Z59" t="s">
        <v>655</v>
      </c>
      <c r="AA59" t="s">
        <v>650</v>
      </c>
    </row>
    <row r="60" spans="1:27" x14ac:dyDescent="0.35">
      <c r="A60" t="s">
        <v>116</v>
      </c>
      <c r="B60" t="s">
        <v>117</v>
      </c>
      <c r="C60" t="str">
        <f>VLOOKUP(B60,patients!$A:$K,2,FALSE)&amp;" "&amp;VLOOKUP('HOSPITAL MANAGEMENT DATA'!B60,patients!$A:$K,3,FALSE)</f>
        <v>Linda Moore</v>
      </c>
      <c r="D60" t="str">
        <f>VLOOKUP(B60,patients!$A:$K,4,FALSE)</f>
        <v>F</v>
      </c>
      <c r="E60" s="1">
        <f>VLOOKUP(B60,patients!$A:$K,5,FALSE)</f>
        <v>35975</v>
      </c>
      <c r="F60">
        <f>VLOOKUP(B60,patients!$A:$K,6,FALSE)</f>
        <v>8724518272</v>
      </c>
      <c r="G60" t="str">
        <f>VLOOKUP(B60,patients!$A:$K,7,FALSE)</f>
        <v>321 Maple Dr</v>
      </c>
      <c r="H60" s="1">
        <f>VLOOKUP(B60,patients!$A:$K,8,FALSE)</f>
        <v>44423</v>
      </c>
      <c r="I60" t="str">
        <f>VLOOKUP(B60,patients!$A:$K,11,FALSE)</f>
        <v>linda.moore@mail.com</v>
      </c>
      <c r="J60" t="s">
        <v>35</v>
      </c>
      <c r="K60" t="str">
        <f>VLOOKUP(J60,doctors!$A:$H,2,FALSE)&amp;" "&amp;VLOOKUP(J60,doctors!$A:$H,3,FALSE)</f>
        <v>Linda Wilson</v>
      </c>
      <c r="L60" t="str">
        <f>VLOOKUP(J60,doctors!$A:$H,4,FALSE)</f>
        <v>Oncology</v>
      </c>
      <c r="M60">
        <f>VLOOKUP(J60,doctors!$A:$H,5,FALSE)</f>
        <v>6176383634</v>
      </c>
      <c r="N60" t="str">
        <f>VLOOKUP(J60,doctors!$A:$H,7,FALSE)</f>
        <v>Eastside Clinic</v>
      </c>
      <c r="O60" s="1">
        <v>44994</v>
      </c>
      <c r="P60" s="2">
        <v>0.64583333333333337</v>
      </c>
      <c r="Q60" t="s">
        <v>10</v>
      </c>
      <c r="R60" t="s">
        <v>19</v>
      </c>
      <c r="S60" t="s">
        <v>496</v>
      </c>
      <c r="T60" t="s">
        <v>440</v>
      </c>
      <c r="U60" s="3">
        <v>929.91</v>
      </c>
      <c r="V60" s="1">
        <v>44994</v>
      </c>
      <c r="W60" t="s">
        <v>707</v>
      </c>
      <c r="X60" s="1">
        <v>44994</v>
      </c>
      <c r="Y60" s="3">
        <v>929.91</v>
      </c>
      <c r="Z60" t="s">
        <v>655</v>
      </c>
      <c r="AA60" t="s">
        <v>645</v>
      </c>
    </row>
    <row r="61" spans="1:27" x14ac:dyDescent="0.35">
      <c r="A61" t="s">
        <v>118</v>
      </c>
      <c r="B61" t="s">
        <v>119</v>
      </c>
      <c r="C61" t="str">
        <f>VLOOKUP(B61,patients!$A:$K,2,FALSE)&amp;" "&amp;VLOOKUP('HOSPITAL MANAGEMENT DATA'!B61,patients!$A:$K,3,FALSE)</f>
        <v>Jane Moore</v>
      </c>
      <c r="D61" t="str">
        <f>VLOOKUP(B61,patients!$A:$K,4,FALSE)</f>
        <v>F</v>
      </c>
      <c r="E61" s="1">
        <f>VLOOKUP(B61,patients!$A:$K,5,FALSE)</f>
        <v>37778</v>
      </c>
      <c r="F61">
        <f>VLOOKUP(B61,patients!$A:$K,6,FALSE)</f>
        <v>8158989953</v>
      </c>
      <c r="G61" t="str">
        <f>VLOOKUP(B61,patients!$A:$K,7,FALSE)</f>
        <v>789 Pine Rd</v>
      </c>
      <c r="H61" s="1">
        <f>VLOOKUP(B61,patients!$A:$K,8,FALSE)</f>
        <v>44654</v>
      </c>
      <c r="I61" t="str">
        <f>VLOOKUP(B61,patients!$A:$K,11,FALSE)</f>
        <v>jane.moore@mail.com</v>
      </c>
      <c r="J61" t="s">
        <v>48</v>
      </c>
      <c r="K61" t="str">
        <f>VLOOKUP(J61,doctors!$A:$H,2,FALSE)&amp;" "&amp;VLOOKUP(J61,doctors!$A:$H,3,FALSE)</f>
        <v>Jane Davis</v>
      </c>
      <c r="L61" t="str">
        <f>VLOOKUP(J61,doctors!$A:$H,4,FALSE)</f>
        <v>Pediatrics</v>
      </c>
      <c r="M61">
        <f>VLOOKUP(J61,doctors!$A:$H,5,FALSE)</f>
        <v>9004382050</v>
      </c>
      <c r="N61" t="str">
        <f>VLOOKUP(J61,doctors!$A:$H,7,FALSE)</f>
        <v>Eastside Clinic</v>
      </c>
      <c r="O61" s="1">
        <v>45252</v>
      </c>
      <c r="P61" s="2">
        <v>0.71875</v>
      </c>
      <c r="Q61" t="s">
        <v>29</v>
      </c>
      <c r="R61" t="s">
        <v>15</v>
      </c>
      <c r="S61" t="s">
        <v>497</v>
      </c>
      <c r="T61" t="s">
        <v>444</v>
      </c>
      <c r="U61" s="3">
        <v>3307.37</v>
      </c>
      <c r="V61" s="1">
        <v>45252</v>
      </c>
      <c r="W61" t="s">
        <v>708</v>
      </c>
      <c r="X61" s="1">
        <v>45252</v>
      </c>
      <c r="Y61" s="3">
        <v>3307.37</v>
      </c>
      <c r="Z61" t="s">
        <v>644</v>
      </c>
      <c r="AA61" t="s">
        <v>645</v>
      </c>
    </row>
    <row r="62" spans="1:27" x14ac:dyDescent="0.35">
      <c r="A62" t="s">
        <v>120</v>
      </c>
      <c r="B62" t="s">
        <v>109</v>
      </c>
      <c r="C62" t="str">
        <f>VLOOKUP(B62,patients!$A:$K,2,FALSE)&amp;" "&amp;VLOOKUP('HOSPITAL MANAGEMENT DATA'!B62,patients!$A:$K,3,FALSE)</f>
        <v>Sarah Brown</v>
      </c>
      <c r="D62" t="str">
        <f>VLOOKUP(B62,patients!$A:$K,4,FALSE)</f>
        <v>F</v>
      </c>
      <c r="E62" s="1">
        <f>VLOOKUP(B62,patients!$A:$K,5,FALSE)</f>
        <v>33546</v>
      </c>
      <c r="F62">
        <f>VLOOKUP(B62,patients!$A:$K,6,FALSE)</f>
        <v>7196777444</v>
      </c>
      <c r="G62" t="str">
        <f>VLOOKUP(B62,patients!$A:$K,7,FALSE)</f>
        <v>321 Maple Dr</v>
      </c>
      <c r="H62" s="1">
        <f>VLOOKUP(B62,patients!$A:$K,8,FALSE)</f>
        <v>44441</v>
      </c>
      <c r="I62" t="str">
        <f>VLOOKUP(B62,patients!$A:$K,11,FALSE)</f>
        <v>sarah.brown@mail.com</v>
      </c>
      <c r="J62" t="s">
        <v>74</v>
      </c>
      <c r="K62" t="str">
        <f>VLOOKUP(J62,doctors!$A:$H,2,FALSE)&amp;" "&amp;VLOOKUP(J62,doctors!$A:$H,3,FALSE)</f>
        <v>Sarah Taylor</v>
      </c>
      <c r="L62" t="str">
        <f>VLOOKUP(J62,doctors!$A:$H,4,FALSE)</f>
        <v>Dermatology</v>
      </c>
      <c r="M62">
        <f>VLOOKUP(J62,doctors!$A:$H,5,FALSE)</f>
        <v>9118538547</v>
      </c>
      <c r="N62" t="str">
        <f>VLOOKUP(J62,doctors!$A:$H,7,FALSE)</f>
        <v>Central Hospital</v>
      </c>
      <c r="O62" s="1">
        <v>44941</v>
      </c>
      <c r="P62" s="2">
        <v>0.70833333333333337</v>
      </c>
      <c r="Q62" t="s">
        <v>10</v>
      </c>
      <c r="R62" t="s">
        <v>15</v>
      </c>
      <c r="S62" t="s">
        <v>498</v>
      </c>
      <c r="T62" t="s">
        <v>456</v>
      </c>
      <c r="U62" s="3">
        <v>2532.9499999999998</v>
      </c>
      <c r="V62" s="1">
        <v>44941</v>
      </c>
      <c r="W62" t="s">
        <v>709</v>
      </c>
      <c r="X62" s="1">
        <v>44941</v>
      </c>
      <c r="Y62" s="3">
        <v>2532.9499999999998</v>
      </c>
      <c r="Z62" t="s">
        <v>652</v>
      </c>
      <c r="AA62" t="s">
        <v>647</v>
      </c>
    </row>
    <row r="63" spans="1:27" x14ac:dyDescent="0.35">
      <c r="A63" t="s">
        <v>121</v>
      </c>
      <c r="B63" t="s">
        <v>50</v>
      </c>
      <c r="C63" t="str">
        <f>VLOOKUP(B63,patients!$A:$K,2,FALSE)&amp;" "&amp;VLOOKUP('HOSPITAL MANAGEMENT DATA'!B63,patients!$A:$K,3,FALSE)</f>
        <v>Laura Davis</v>
      </c>
      <c r="D63" t="str">
        <f>VLOOKUP(B63,patients!$A:$K,4,FALSE)</f>
        <v>F</v>
      </c>
      <c r="E63" s="1">
        <f>VLOOKUP(B63,patients!$A:$K,5,FALSE)</f>
        <v>33580</v>
      </c>
      <c r="F63">
        <f>VLOOKUP(B63,patients!$A:$K,6,FALSE)</f>
        <v>8135666049</v>
      </c>
      <c r="G63" t="str">
        <f>VLOOKUP(B63,patients!$A:$K,7,FALSE)</f>
        <v>321 Maple Dr</v>
      </c>
      <c r="H63" s="1">
        <f>VLOOKUP(B63,patients!$A:$K,8,FALSE)</f>
        <v>45043</v>
      </c>
      <c r="I63" t="str">
        <f>VLOOKUP(B63,patients!$A:$K,11,FALSE)</f>
        <v>laura.davis@mail.com</v>
      </c>
      <c r="J63" t="s">
        <v>9</v>
      </c>
      <c r="K63" t="str">
        <f>VLOOKUP(J63,doctors!$A:$H,2,FALSE)&amp;" "&amp;VLOOKUP(J63,doctors!$A:$H,3,FALSE)</f>
        <v>Sarah Smith</v>
      </c>
      <c r="L63" t="str">
        <f>VLOOKUP(J63,doctors!$A:$H,4,FALSE)</f>
        <v>Pediatrics</v>
      </c>
      <c r="M63">
        <f>VLOOKUP(J63,doctors!$A:$H,5,FALSE)</f>
        <v>7387087517</v>
      </c>
      <c r="N63" t="str">
        <f>VLOOKUP(J63,doctors!$A:$H,7,FALSE)</f>
        <v>Central Hospital</v>
      </c>
      <c r="O63" s="1">
        <v>45091</v>
      </c>
      <c r="P63" s="2">
        <v>0.63541666666666663</v>
      </c>
      <c r="Q63" t="s">
        <v>29</v>
      </c>
      <c r="R63" t="s">
        <v>15</v>
      </c>
      <c r="S63" t="s">
        <v>499</v>
      </c>
      <c r="T63" t="s">
        <v>456</v>
      </c>
      <c r="U63" s="3">
        <v>3139.74</v>
      </c>
      <c r="V63" s="1">
        <v>45091</v>
      </c>
      <c r="W63" t="s">
        <v>710</v>
      </c>
      <c r="X63" s="1">
        <v>45091</v>
      </c>
      <c r="Y63" s="3">
        <v>3139.74</v>
      </c>
      <c r="Z63" t="s">
        <v>655</v>
      </c>
      <c r="AA63" t="s">
        <v>647</v>
      </c>
    </row>
    <row r="64" spans="1:27" x14ac:dyDescent="0.35">
      <c r="A64" t="s">
        <v>122</v>
      </c>
      <c r="B64" t="s">
        <v>123</v>
      </c>
      <c r="C64" t="str">
        <f>VLOOKUP(B64,patients!$A:$K,2,FALSE)&amp;" "&amp;VLOOKUP('HOSPITAL MANAGEMENT DATA'!B64,patients!$A:$K,3,FALSE)</f>
        <v>Laura Wilson</v>
      </c>
      <c r="D64" t="str">
        <f>VLOOKUP(B64,patients!$A:$K,4,FALSE)</f>
        <v>M</v>
      </c>
      <c r="E64" s="1">
        <f>VLOOKUP(B64,patients!$A:$K,5,FALSE)</f>
        <v>34330</v>
      </c>
      <c r="F64">
        <f>VLOOKUP(B64,patients!$A:$K,6,FALSE)</f>
        <v>8301134730</v>
      </c>
      <c r="G64" t="str">
        <f>VLOOKUP(B64,patients!$A:$K,7,FALSE)</f>
        <v>321 Maple Dr</v>
      </c>
      <c r="H64" s="1">
        <f>VLOOKUP(B64,patients!$A:$K,8,FALSE)</f>
        <v>45044</v>
      </c>
      <c r="I64" t="str">
        <f>VLOOKUP(B64,patients!$A:$K,11,FALSE)</f>
        <v>laura.wilson@mail.com</v>
      </c>
      <c r="J64" t="s">
        <v>14</v>
      </c>
      <c r="K64" t="str">
        <f>VLOOKUP(J64,doctors!$A:$H,2,FALSE)&amp;" "&amp;VLOOKUP(J64,doctors!$A:$H,3,FALSE)</f>
        <v>David Jones</v>
      </c>
      <c r="L64" t="str">
        <f>VLOOKUP(J64,doctors!$A:$H,4,FALSE)</f>
        <v>Pediatrics</v>
      </c>
      <c r="M64">
        <f>VLOOKUP(J64,doctors!$A:$H,5,FALSE)</f>
        <v>6594221991</v>
      </c>
      <c r="N64" t="str">
        <f>VLOOKUP(J64,doctors!$A:$H,7,FALSE)</f>
        <v>Central Hospital</v>
      </c>
      <c r="O64" s="1">
        <v>45106</v>
      </c>
      <c r="P64" s="2">
        <v>0.375</v>
      </c>
      <c r="Q64" t="s">
        <v>38</v>
      </c>
      <c r="R64" t="s">
        <v>11</v>
      </c>
      <c r="S64" t="s">
        <v>500</v>
      </c>
      <c r="T64" t="s">
        <v>434</v>
      </c>
      <c r="U64" s="3">
        <v>1256.06</v>
      </c>
      <c r="V64" s="1">
        <v>45106</v>
      </c>
      <c r="W64" t="s">
        <v>711</v>
      </c>
      <c r="X64" s="1">
        <v>45106</v>
      </c>
      <c r="Y64" s="3">
        <v>1256.06</v>
      </c>
      <c r="Z64" t="s">
        <v>644</v>
      </c>
      <c r="AA64" t="s">
        <v>650</v>
      </c>
    </row>
    <row r="65" spans="1:27" x14ac:dyDescent="0.35">
      <c r="A65" t="s">
        <v>124</v>
      </c>
      <c r="B65" t="s">
        <v>125</v>
      </c>
      <c r="C65" t="str">
        <f>VLOOKUP(B65,patients!$A:$K,2,FALSE)&amp;" "&amp;VLOOKUP('HOSPITAL MANAGEMENT DATA'!B65,patients!$A:$K,3,FALSE)</f>
        <v>David Wilson</v>
      </c>
      <c r="D65" t="str">
        <f>VLOOKUP(B65,patients!$A:$K,4,FALSE)</f>
        <v>F</v>
      </c>
      <c r="E65" s="1">
        <f>VLOOKUP(B65,patients!$A:$K,5,FALSE)</f>
        <v>34072</v>
      </c>
      <c r="F65">
        <f>VLOOKUP(B65,patients!$A:$K,6,FALSE)</f>
        <v>7039619487</v>
      </c>
      <c r="G65" t="str">
        <f>VLOOKUP(B65,patients!$A:$K,7,FALSE)</f>
        <v>123 Elm St</v>
      </c>
      <c r="H65" s="1">
        <f>VLOOKUP(B65,patients!$A:$K,8,FALSE)</f>
        <v>45116</v>
      </c>
      <c r="I65" t="str">
        <f>VLOOKUP(B65,patients!$A:$K,11,FALSE)</f>
        <v>david.wilson@mail.com</v>
      </c>
      <c r="J65" t="s">
        <v>22</v>
      </c>
      <c r="K65" t="str">
        <f>VLOOKUP(J65,doctors!$A:$H,2,FALSE)&amp;" "&amp;VLOOKUP(J65,doctors!$A:$H,3,FALSE)</f>
        <v>Alex Davis</v>
      </c>
      <c r="L65" t="str">
        <f>VLOOKUP(J65,doctors!$A:$H,4,FALSE)</f>
        <v>Pediatrics</v>
      </c>
      <c r="M65">
        <f>VLOOKUP(J65,doctors!$A:$H,5,FALSE)</f>
        <v>6570137231</v>
      </c>
      <c r="N65" t="str">
        <f>VLOOKUP(J65,doctors!$A:$H,7,FALSE)</f>
        <v>Central Hospital</v>
      </c>
      <c r="O65" s="1">
        <v>45077</v>
      </c>
      <c r="P65" s="2">
        <v>0.35416666666666669</v>
      </c>
      <c r="Q65" t="s">
        <v>29</v>
      </c>
      <c r="R65" t="s">
        <v>19</v>
      </c>
      <c r="S65" t="s">
        <v>501</v>
      </c>
      <c r="T65" t="s">
        <v>444</v>
      </c>
      <c r="U65" s="3">
        <v>3815.93</v>
      </c>
      <c r="V65" s="1">
        <v>45077</v>
      </c>
      <c r="W65" t="s">
        <v>712</v>
      </c>
      <c r="X65" s="1">
        <v>45077</v>
      </c>
      <c r="Y65" s="3">
        <v>3815.93</v>
      </c>
      <c r="Z65" t="s">
        <v>655</v>
      </c>
      <c r="AA65" t="s">
        <v>647</v>
      </c>
    </row>
    <row r="66" spans="1:27" x14ac:dyDescent="0.35">
      <c r="A66" t="s">
        <v>126</v>
      </c>
      <c r="B66" t="s">
        <v>86</v>
      </c>
      <c r="C66" t="str">
        <f>VLOOKUP(B66,patients!$A:$K,2,FALSE)&amp;" "&amp;VLOOKUP('HOSPITAL MANAGEMENT DATA'!B66,patients!$A:$K,3,FALSE)</f>
        <v>Michael Wilson</v>
      </c>
      <c r="D66" t="str">
        <f>VLOOKUP(B66,patients!$A:$K,4,FALSE)</f>
        <v>F</v>
      </c>
      <c r="E66" s="1">
        <f>VLOOKUP(B66,patients!$A:$K,5,FALSE)</f>
        <v>25605</v>
      </c>
      <c r="F66">
        <f>VLOOKUP(B66,patients!$A:$K,6,FALSE)</f>
        <v>7923214041</v>
      </c>
      <c r="G66" t="str">
        <f>VLOOKUP(B66,patients!$A:$K,7,FALSE)</f>
        <v>789 Pine Rd</v>
      </c>
      <c r="H66" s="1">
        <f>VLOOKUP(B66,patients!$A:$K,8,FALSE)</f>
        <v>45175</v>
      </c>
      <c r="I66" t="str">
        <f>VLOOKUP(B66,patients!$A:$K,11,FALSE)</f>
        <v>michael.wilson@mail.com</v>
      </c>
      <c r="J66" t="s">
        <v>59</v>
      </c>
      <c r="K66" t="str">
        <f>VLOOKUP(J66,doctors!$A:$H,2,FALSE)&amp;" "&amp;VLOOKUP(J66,doctors!$A:$H,3,FALSE)</f>
        <v>David Taylor</v>
      </c>
      <c r="L66" t="str">
        <f>VLOOKUP(J66,doctors!$A:$H,4,FALSE)</f>
        <v>Dermatology</v>
      </c>
      <c r="M66">
        <f>VLOOKUP(J66,doctors!$A:$H,5,FALSE)</f>
        <v>8322010158</v>
      </c>
      <c r="N66" t="str">
        <f>VLOOKUP(J66,doctors!$A:$H,7,FALSE)</f>
        <v>Westside Clinic</v>
      </c>
      <c r="O66" s="1">
        <v>45040</v>
      </c>
      <c r="P66" s="2">
        <v>0.65625</v>
      </c>
      <c r="Q66" t="s">
        <v>26</v>
      </c>
      <c r="R66" t="s">
        <v>19</v>
      </c>
      <c r="S66" t="s">
        <v>502</v>
      </c>
      <c r="T66" t="s">
        <v>440</v>
      </c>
      <c r="U66" s="3">
        <v>4382.59</v>
      </c>
      <c r="V66" s="1">
        <v>45040</v>
      </c>
      <c r="W66" t="s">
        <v>713</v>
      </c>
      <c r="X66" s="1">
        <v>45040</v>
      </c>
      <c r="Y66" s="3">
        <v>4382.59</v>
      </c>
      <c r="Z66" t="s">
        <v>644</v>
      </c>
      <c r="AA66" t="s">
        <v>650</v>
      </c>
    </row>
    <row r="67" spans="1:27" x14ac:dyDescent="0.35">
      <c r="A67" t="s">
        <v>127</v>
      </c>
      <c r="B67" t="s">
        <v>86</v>
      </c>
      <c r="C67" t="str">
        <f>VLOOKUP(B67,patients!$A:$K,2,FALSE)&amp;" "&amp;VLOOKUP('HOSPITAL MANAGEMENT DATA'!B67,patients!$A:$K,3,FALSE)</f>
        <v>Michael Wilson</v>
      </c>
      <c r="D67" t="str">
        <f>VLOOKUP(B67,patients!$A:$K,4,FALSE)</f>
        <v>F</v>
      </c>
      <c r="E67" s="1">
        <f>VLOOKUP(B67,patients!$A:$K,5,FALSE)</f>
        <v>25605</v>
      </c>
      <c r="F67">
        <f>VLOOKUP(B67,patients!$A:$K,6,FALSE)</f>
        <v>7923214041</v>
      </c>
      <c r="G67" t="str">
        <f>VLOOKUP(B67,patients!$A:$K,7,FALSE)</f>
        <v>789 Pine Rd</v>
      </c>
      <c r="H67" s="1">
        <f>VLOOKUP(B67,patients!$A:$K,8,FALSE)</f>
        <v>45175</v>
      </c>
      <c r="I67" t="str">
        <f>VLOOKUP(B67,patients!$A:$K,11,FALSE)</f>
        <v>michael.wilson@mail.com</v>
      </c>
      <c r="J67" t="s">
        <v>9</v>
      </c>
      <c r="K67" t="str">
        <f>VLOOKUP(J67,doctors!$A:$H,2,FALSE)&amp;" "&amp;VLOOKUP(J67,doctors!$A:$H,3,FALSE)</f>
        <v>Sarah Smith</v>
      </c>
      <c r="L67" t="str">
        <f>VLOOKUP(J67,doctors!$A:$H,4,FALSE)</f>
        <v>Pediatrics</v>
      </c>
      <c r="M67">
        <f>VLOOKUP(J67,doctors!$A:$H,5,FALSE)</f>
        <v>7387087517</v>
      </c>
      <c r="N67" t="str">
        <f>VLOOKUP(J67,doctors!$A:$H,7,FALSE)</f>
        <v>Central Hospital</v>
      </c>
      <c r="O67" s="1">
        <v>45056</v>
      </c>
      <c r="P67" s="2">
        <v>0.48958333333333331</v>
      </c>
      <c r="Q67" t="s">
        <v>18</v>
      </c>
      <c r="R67" t="s">
        <v>15</v>
      </c>
      <c r="S67" t="s">
        <v>503</v>
      </c>
      <c r="T67" t="s">
        <v>440</v>
      </c>
      <c r="U67" s="3">
        <v>1475.33</v>
      </c>
      <c r="V67" s="1">
        <v>45056</v>
      </c>
      <c r="W67" t="s">
        <v>714</v>
      </c>
      <c r="X67" s="1">
        <v>45056</v>
      </c>
      <c r="Y67" s="3">
        <v>1475.33</v>
      </c>
      <c r="Z67" t="s">
        <v>652</v>
      </c>
      <c r="AA67" t="s">
        <v>645</v>
      </c>
    </row>
    <row r="68" spans="1:27" x14ac:dyDescent="0.35">
      <c r="A68" t="s">
        <v>128</v>
      </c>
      <c r="B68" t="s">
        <v>129</v>
      </c>
      <c r="C68" t="str">
        <f>VLOOKUP(B68,patients!$A:$K,2,FALSE)&amp;" "&amp;VLOOKUP('HOSPITAL MANAGEMENT DATA'!B68,patients!$A:$K,3,FALSE)</f>
        <v>Linda Brown</v>
      </c>
      <c r="D68" t="str">
        <f>VLOOKUP(B68,patients!$A:$K,4,FALSE)</f>
        <v>M</v>
      </c>
      <c r="E68" s="1">
        <f>VLOOKUP(B68,patients!$A:$K,5,FALSE)</f>
        <v>29305</v>
      </c>
      <c r="F68">
        <f>VLOOKUP(B68,patients!$A:$K,6,FALSE)</f>
        <v>9127665406</v>
      </c>
      <c r="G68" t="str">
        <f>VLOOKUP(B68,patients!$A:$K,7,FALSE)</f>
        <v>789 Pine Rd</v>
      </c>
      <c r="H68" s="1">
        <f>VLOOKUP(B68,patients!$A:$K,8,FALSE)</f>
        <v>44760</v>
      </c>
      <c r="I68" t="str">
        <f>VLOOKUP(B68,patients!$A:$K,11,FALSE)</f>
        <v>linda.brown@mail.com</v>
      </c>
      <c r="J68" t="s">
        <v>59</v>
      </c>
      <c r="K68" t="str">
        <f>VLOOKUP(J68,doctors!$A:$H,2,FALSE)&amp;" "&amp;VLOOKUP(J68,doctors!$A:$H,3,FALSE)</f>
        <v>David Taylor</v>
      </c>
      <c r="L68" t="str">
        <f>VLOOKUP(J68,doctors!$A:$H,4,FALSE)</f>
        <v>Dermatology</v>
      </c>
      <c r="M68">
        <f>VLOOKUP(J68,doctors!$A:$H,5,FALSE)</f>
        <v>8322010158</v>
      </c>
      <c r="N68" t="str">
        <f>VLOOKUP(J68,doctors!$A:$H,7,FALSE)</f>
        <v>Westside Clinic</v>
      </c>
      <c r="O68" s="1">
        <v>45148</v>
      </c>
      <c r="P68" s="2">
        <v>0.45833333333333331</v>
      </c>
      <c r="Q68" t="s">
        <v>38</v>
      </c>
      <c r="R68" t="s">
        <v>11</v>
      </c>
      <c r="S68" t="s">
        <v>504</v>
      </c>
      <c r="T68" t="s">
        <v>431</v>
      </c>
      <c r="U68" s="3">
        <v>930.72</v>
      </c>
      <c r="V68" s="1">
        <v>45148</v>
      </c>
      <c r="W68" t="s">
        <v>715</v>
      </c>
      <c r="X68" s="1">
        <v>45148</v>
      </c>
      <c r="Y68" s="3">
        <v>930.72</v>
      </c>
      <c r="Z68" t="s">
        <v>652</v>
      </c>
      <c r="AA68" t="s">
        <v>645</v>
      </c>
    </row>
    <row r="69" spans="1:27" x14ac:dyDescent="0.35">
      <c r="A69" t="s">
        <v>130</v>
      </c>
      <c r="B69" t="s">
        <v>56</v>
      </c>
      <c r="C69" t="str">
        <f>VLOOKUP(B69,patients!$A:$K,2,FALSE)&amp;" "&amp;VLOOKUP('HOSPITAL MANAGEMENT DATA'!B69,patients!$A:$K,3,FALSE)</f>
        <v>Robert Williams</v>
      </c>
      <c r="D69" t="str">
        <f>VLOOKUP(B69,patients!$A:$K,4,FALSE)</f>
        <v>M</v>
      </c>
      <c r="E69" s="1">
        <f>VLOOKUP(B69,patients!$A:$K,5,FALSE)</f>
        <v>36196</v>
      </c>
      <c r="F69">
        <f>VLOOKUP(B69,patients!$A:$K,6,FALSE)</f>
        <v>8886800195</v>
      </c>
      <c r="G69" t="str">
        <f>VLOOKUP(B69,patients!$A:$K,7,FALSE)</f>
        <v>456 Oak Ave</v>
      </c>
      <c r="H69" s="1">
        <f>VLOOKUP(B69,patients!$A:$K,8,FALSE)</f>
        <v>44469</v>
      </c>
      <c r="I69" t="str">
        <f>VLOOKUP(B69,patients!$A:$K,11,FALSE)</f>
        <v>robert.williams@mail.com</v>
      </c>
      <c r="J69" t="s">
        <v>74</v>
      </c>
      <c r="K69" t="str">
        <f>VLOOKUP(J69,doctors!$A:$H,2,FALSE)&amp;" "&amp;VLOOKUP(J69,doctors!$A:$H,3,FALSE)</f>
        <v>Sarah Taylor</v>
      </c>
      <c r="L69" t="str">
        <f>VLOOKUP(J69,doctors!$A:$H,4,FALSE)</f>
        <v>Dermatology</v>
      </c>
      <c r="M69">
        <f>VLOOKUP(J69,doctors!$A:$H,5,FALSE)</f>
        <v>9118538547</v>
      </c>
      <c r="N69" t="str">
        <f>VLOOKUP(J69,doctors!$A:$H,7,FALSE)</f>
        <v>Central Hospital</v>
      </c>
      <c r="O69" s="1">
        <v>44999</v>
      </c>
      <c r="P69" s="2">
        <v>0.625</v>
      </c>
      <c r="Q69" t="s">
        <v>29</v>
      </c>
      <c r="R69" t="s">
        <v>11</v>
      </c>
      <c r="S69" t="s">
        <v>505</v>
      </c>
      <c r="T69" t="s">
        <v>440</v>
      </c>
      <c r="U69" s="3">
        <v>606.37</v>
      </c>
      <c r="V69" s="1">
        <v>44999</v>
      </c>
      <c r="W69" t="s">
        <v>716</v>
      </c>
      <c r="X69" s="1">
        <v>44999</v>
      </c>
      <c r="Y69" s="3">
        <v>606.37</v>
      </c>
      <c r="Z69" t="s">
        <v>652</v>
      </c>
      <c r="AA69" t="s">
        <v>650</v>
      </c>
    </row>
    <row r="70" spans="1:27" x14ac:dyDescent="0.35">
      <c r="A70" t="s">
        <v>131</v>
      </c>
      <c r="B70" t="s">
        <v>50</v>
      </c>
      <c r="C70" t="str">
        <f>VLOOKUP(B70,patients!$A:$K,2,FALSE)&amp;" "&amp;VLOOKUP('HOSPITAL MANAGEMENT DATA'!B70,patients!$A:$K,3,FALSE)</f>
        <v>Laura Davis</v>
      </c>
      <c r="D70" t="str">
        <f>VLOOKUP(B70,patients!$A:$K,4,FALSE)</f>
        <v>F</v>
      </c>
      <c r="E70" s="1">
        <f>VLOOKUP(B70,patients!$A:$K,5,FALSE)</f>
        <v>33580</v>
      </c>
      <c r="F70">
        <f>VLOOKUP(B70,patients!$A:$K,6,FALSE)</f>
        <v>8135666049</v>
      </c>
      <c r="G70" t="str">
        <f>VLOOKUP(B70,patients!$A:$K,7,FALSE)</f>
        <v>321 Maple Dr</v>
      </c>
      <c r="H70" s="1">
        <f>VLOOKUP(B70,patients!$A:$K,8,FALSE)</f>
        <v>45043</v>
      </c>
      <c r="I70" t="str">
        <f>VLOOKUP(B70,patients!$A:$K,11,FALSE)</f>
        <v>laura.davis@mail.com</v>
      </c>
      <c r="J70" t="s">
        <v>14</v>
      </c>
      <c r="K70" t="str">
        <f>VLOOKUP(J70,doctors!$A:$H,2,FALSE)&amp;" "&amp;VLOOKUP(J70,doctors!$A:$H,3,FALSE)</f>
        <v>David Jones</v>
      </c>
      <c r="L70" t="str">
        <f>VLOOKUP(J70,doctors!$A:$H,4,FALSE)</f>
        <v>Pediatrics</v>
      </c>
      <c r="M70">
        <f>VLOOKUP(J70,doctors!$A:$H,5,FALSE)</f>
        <v>6594221991</v>
      </c>
      <c r="N70" t="str">
        <f>VLOOKUP(J70,doctors!$A:$H,7,FALSE)</f>
        <v>Central Hospital</v>
      </c>
      <c r="O70" s="1">
        <v>45014</v>
      </c>
      <c r="P70" s="2">
        <v>0.64583333333333337</v>
      </c>
      <c r="Q70" t="s">
        <v>10</v>
      </c>
      <c r="R70" t="s">
        <v>19</v>
      </c>
      <c r="S70" t="s">
        <v>506</v>
      </c>
      <c r="T70" t="s">
        <v>434</v>
      </c>
      <c r="U70" s="3">
        <v>3388.87</v>
      </c>
      <c r="V70" s="1">
        <v>45014</v>
      </c>
      <c r="W70" t="s">
        <v>717</v>
      </c>
      <c r="X70" s="1">
        <v>45014</v>
      </c>
      <c r="Y70" s="3">
        <v>3388.87</v>
      </c>
      <c r="Z70" t="s">
        <v>652</v>
      </c>
      <c r="AA70" t="s">
        <v>647</v>
      </c>
    </row>
    <row r="71" spans="1:27" x14ac:dyDescent="0.35">
      <c r="A71" t="s">
        <v>132</v>
      </c>
      <c r="B71" t="s">
        <v>47</v>
      </c>
      <c r="C71" t="str">
        <f>VLOOKUP(B71,patients!$A:$K,2,FALSE)&amp;" "&amp;VLOOKUP('HOSPITAL MANAGEMENT DATA'!B71,patients!$A:$K,3,FALSE)</f>
        <v>Laura Jones</v>
      </c>
      <c r="D71" t="str">
        <f>VLOOKUP(B71,patients!$A:$K,4,FALSE)</f>
        <v>M</v>
      </c>
      <c r="E71" s="1">
        <f>VLOOKUP(B71,patients!$A:$K,5,FALSE)</f>
        <v>28358</v>
      </c>
      <c r="F71">
        <f>VLOOKUP(B71,patients!$A:$K,6,FALSE)</f>
        <v>8397029847</v>
      </c>
      <c r="G71" t="str">
        <f>VLOOKUP(B71,patients!$A:$K,7,FALSE)</f>
        <v>321 Maple Dr</v>
      </c>
      <c r="H71" s="1">
        <f>VLOOKUP(B71,patients!$A:$K,8,FALSE)</f>
        <v>44599</v>
      </c>
      <c r="I71" t="str">
        <f>VLOOKUP(B71,patients!$A:$K,11,FALSE)</f>
        <v>laura.jones@mail.com</v>
      </c>
      <c r="J71" t="s">
        <v>25</v>
      </c>
      <c r="K71" t="str">
        <f>VLOOKUP(J71,doctors!$A:$H,2,FALSE)&amp;" "&amp;VLOOKUP(J71,doctors!$A:$H,3,FALSE)</f>
        <v>Jane Smith</v>
      </c>
      <c r="L71" t="str">
        <f>VLOOKUP(J71,doctors!$A:$H,4,FALSE)</f>
        <v>Pediatrics</v>
      </c>
      <c r="M71">
        <f>VLOOKUP(J71,doctors!$A:$H,5,FALSE)</f>
        <v>8737740598</v>
      </c>
      <c r="N71" t="str">
        <f>VLOOKUP(J71,doctors!$A:$H,7,FALSE)</f>
        <v>Eastside Clinic</v>
      </c>
      <c r="O71" s="1">
        <v>45164</v>
      </c>
      <c r="P71" s="2">
        <v>0.70833333333333337</v>
      </c>
      <c r="Q71" t="s">
        <v>38</v>
      </c>
      <c r="R71" t="s">
        <v>11</v>
      </c>
      <c r="S71" t="s">
        <v>507</v>
      </c>
      <c r="T71" t="s">
        <v>434</v>
      </c>
      <c r="U71" s="3">
        <v>3231.92</v>
      </c>
      <c r="V71" s="1">
        <v>45164</v>
      </c>
      <c r="W71" t="s">
        <v>718</v>
      </c>
      <c r="X71" s="1">
        <v>45164</v>
      </c>
      <c r="Y71" s="3">
        <v>3231.92</v>
      </c>
      <c r="Z71" t="s">
        <v>655</v>
      </c>
      <c r="AA71" t="s">
        <v>645</v>
      </c>
    </row>
    <row r="72" spans="1:27" x14ac:dyDescent="0.35">
      <c r="A72" t="s">
        <v>133</v>
      </c>
      <c r="B72" t="s">
        <v>31</v>
      </c>
      <c r="C72" t="str">
        <f>VLOOKUP(B72,patients!$A:$K,2,FALSE)&amp;" "&amp;VLOOKUP('HOSPITAL MANAGEMENT DATA'!B72,patients!$A:$K,3,FALSE)</f>
        <v>David Williams</v>
      </c>
      <c r="D72" t="str">
        <f>VLOOKUP(B72,patients!$A:$K,4,FALSE)</f>
        <v>F</v>
      </c>
      <c r="E72" s="1">
        <f>VLOOKUP(B72,patients!$A:$K,5,FALSE)</f>
        <v>20244</v>
      </c>
      <c r="F72">
        <f>VLOOKUP(B72,patients!$A:$K,6,FALSE)</f>
        <v>6939585183</v>
      </c>
      <c r="G72" t="str">
        <f>VLOOKUP(B72,patients!$A:$K,7,FALSE)</f>
        <v>789 Pine Rd</v>
      </c>
      <c r="H72" s="1">
        <f>VLOOKUP(B72,patients!$A:$K,8,FALSE)</f>
        <v>44735</v>
      </c>
      <c r="I72" t="str">
        <f>VLOOKUP(B72,patients!$A:$K,11,FALSE)</f>
        <v>david.williams@mail.com</v>
      </c>
      <c r="J72" t="s">
        <v>22</v>
      </c>
      <c r="K72" t="str">
        <f>VLOOKUP(J72,doctors!$A:$H,2,FALSE)&amp;" "&amp;VLOOKUP(J72,doctors!$A:$H,3,FALSE)</f>
        <v>Alex Davis</v>
      </c>
      <c r="L72" t="str">
        <f>VLOOKUP(J72,doctors!$A:$H,4,FALSE)</f>
        <v>Pediatrics</v>
      </c>
      <c r="M72">
        <f>VLOOKUP(J72,doctors!$A:$H,5,FALSE)</f>
        <v>6570137231</v>
      </c>
      <c r="N72" t="str">
        <f>VLOOKUP(J72,doctors!$A:$H,7,FALSE)</f>
        <v>Central Hospital</v>
      </c>
      <c r="O72" s="1">
        <v>44952</v>
      </c>
      <c r="P72" s="2">
        <v>0.70833333333333337</v>
      </c>
      <c r="Q72" t="s">
        <v>38</v>
      </c>
      <c r="R72" t="s">
        <v>11</v>
      </c>
      <c r="S72" t="s">
        <v>508</v>
      </c>
      <c r="T72" t="s">
        <v>440</v>
      </c>
      <c r="U72" s="3">
        <v>2960.14</v>
      </c>
      <c r="V72" s="1">
        <v>44952</v>
      </c>
      <c r="W72" t="s">
        <v>719</v>
      </c>
      <c r="X72" s="1">
        <v>44952</v>
      </c>
      <c r="Y72" s="3">
        <v>2960.14</v>
      </c>
      <c r="Z72" t="s">
        <v>655</v>
      </c>
      <c r="AA72" t="s">
        <v>647</v>
      </c>
    </row>
    <row r="73" spans="1:27" x14ac:dyDescent="0.35">
      <c r="A73" t="s">
        <v>134</v>
      </c>
      <c r="B73" t="s">
        <v>86</v>
      </c>
      <c r="C73" t="str">
        <f>VLOOKUP(B73,patients!$A:$K,2,FALSE)&amp;" "&amp;VLOOKUP('HOSPITAL MANAGEMENT DATA'!B73,patients!$A:$K,3,FALSE)</f>
        <v>Michael Wilson</v>
      </c>
      <c r="D73" t="str">
        <f>VLOOKUP(B73,patients!$A:$K,4,FALSE)</f>
        <v>F</v>
      </c>
      <c r="E73" s="1">
        <f>VLOOKUP(B73,patients!$A:$K,5,FALSE)</f>
        <v>25605</v>
      </c>
      <c r="F73">
        <f>VLOOKUP(B73,patients!$A:$K,6,FALSE)</f>
        <v>7923214041</v>
      </c>
      <c r="G73" t="str">
        <f>VLOOKUP(B73,patients!$A:$K,7,FALSE)</f>
        <v>789 Pine Rd</v>
      </c>
      <c r="H73" s="1">
        <f>VLOOKUP(B73,patients!$A:$K,8,FALSE)</f>
        <v>45175</v>
      </c>
      <c r="I73" t="str">
        <f>VLOOKUP(B73,patients!$A:$K,11,FALSE)</f>
        <v>michael.wilson@mail.com</v>
      </c>
      <c r="J73" t="s">
        <v>48</v>
      </c>
      <c r="K73" t="str">
        <f>VLOOKUP(J73,doctors!$A:$H,2,FALSE)&amp;" "&amp;VLOOKUP(J73,doctors!$A:$H,3,FALSE)</f>
        <v>Jane Davis</v>
      </c>
      <c r="L73" t="str">
        <f>VLOOKUP(J73,doctors!$A:$H,4,FALSE)</f>
        <v>Pediatrics</v>
      </c>
      <c r="M73">
        <f>VLOOKUP(J73,doctors!$A:$H,5,FALSE)</f>
        <v>9004382050</v>
      </c>
      <c r="N73" t="str">
        <f>VLOOKUP(J73,doctors!$A:$H,7,FALSE)</f>
        <v>Eastside Clinic</v>
      </c>
      <c r="O73" s="1">
        <v>45089</v>
      </c>
      <c r="P73" s="2">
        <v>0.5625</v>
      </c>
      <c r="Q73" t="s">
        <v>29</v>
      </c>
      <c r="R73" t="s">
        <v>11</v>
      </c>
      <c r="S73" t="s">
        <v>509</v>
      </c>
      <c r="T73" t="s">
        <v>440</v>
      </c>
      <c r="U73" s="3">
        <v>1543.76</v>
      </c>
      <c r="V73" s="1">
        <v>45089</v>
      </c>
      <c r="W73" t="s">
        <v>720</v>
      </c>
      <c r="X73" s="1">
        <v>45089</v>
      </c>
      <c r="Y73" s="3">
        <v>1543.76</v>
      </c>
      <c r="Z73" t="s">
        <v>652</v>
      </c>
      <c r="AA73" t="s">
        <v>645</v>
      </c>
    </row>
    <row r="74" spans="1:27" x14ac:dyDescent="0.35">
      <c r="A74" t="s">
        <v>135</v>
      </c>
      <c r="B74" t="s">
        <v>24</v>
      </c>
      <c r="C74" t="str">
        <f>VLOOKUP(B74,patients!$A:$K,2,FALSE)&amp;" "&amp;VLOOKUP('HOSPITAL MANAGEMENT DATA'!B74,patients!$A:$K,3,FALSE)</f>
        <v>Emily Williams</v>
      </c>
      <c r="D74" t="str">
        <f>VLOOKUP(B74,patients!$A:$K,4,FALSE)</f>
        <v>M</v>
      </c>
      <c r="E74" s="1">
        <f>VLOOKUP(B74,patients!$A:$K,5,FALSE)</f>
        <v>26449</v>
      </c>
      <c r="F74">
        <f>VLOOKUP(B74,patients!$A:$K,6,FALSE)</f>
        <v>7587653815</v>
      </c>
      <c r="G74" t="str">
        <f>VLOOKUP(B74,patients!$A:$K,7,FALSE)</f>
        <v>456 Oak Ave</v>
      </c>
      <c r="H74" s="1">
        <f>VLOOKUP(B74,patients!$A:$K,8,FALSE)</f>
        <v>44485</v>
      </c>
      <c r="I74" t="str">
        <f>VLOOKUP(B74,patients!$A:$K,11,FALSE)</f>
        <v>emily.williams@mail.com</v>
      </c>
      <c r="J74" t="s">
        <v>25</v>
      </c>
      <c r="K74" t="str">
        <f>VLOOKUP(J74,doctors!$A:$H,2,FALSE)&amp;" "&amp;VLOOKUP(J74,doctors!$A:$H,3,FALSE)</f>
        <v>Jane Smith</v>
      </c>
      <c r="L74" t="str">
        <f>VLOOKUP(J74,doctors!$A:$H,4,FALSE)</f>
        <v>Pediatrics</v>
      </c>
      <c r="M74">
        <f>VLOOKUP(J74,doctors!$A:$H,5,FALSE)</f>
        <v>8737740598</v>
      </c>
      <c r="N74" t="str">
        <f>VLOOKUP(J74,doctors!$A:$H,7,FALSE)</f>
        <v>Eastside Clinic</v>
      </c>
      <c r="O74" s="1">
        <v>45284</v>
      </c>
      <c r="P74" s="2">
        <v>0.625</v>
      </c>
      <c r="Q74" t="s">
        <v>38</v>
      </c>
      <c r="R74" t="s">
        <v>41</v>
      </c>
      <c r="S74" t="s">
        <v>510</v>
      </c>
      <c r="T74" t="s">
        <v>431</v>
      </c>
      <c r="U74" s="3">
        <v>2259.08</v>
      </c>
      <c r="V74" s="1">
        <v>45284</v>
      </c>
      <c r="W74" t="s">
        <v>721</v>
      </c>
      <c r="X74" s="1">
        <v>45284</v>
      </c>
      <c r="Y74" s="3">
        <v>2259.08</v>
      </c>
      <c r="Z74" t="s">
        <v>652</v>
      </c>
      <c r="AA74" t="s">
        <v>650</v>
      </c>
    </row>
    <row r="75" spans="1:27" x14ac:dyDescent="0.35">
      <c r="A75" t="s">
        <v>136</v>
      </c>
      <c r="B75" t="s">
        <v>92</v>
      </c>
      <c r="C75" t="str">
        <f>VLOOKUP(B75,patients!$A:$K,2,FALSE)&amp;" "&amp;VLOOKUP('HOSPITAL MANAGEMENT DATA'!B75,patients!$A:$K,3,FALSE)</f>
        <v>Michael Taylor</v>
      </c>
      <c r="D75" t="str">
        <f>VLOOKUP(B75,patients!$A:$K,4,FALSE)</f>
        <v>M</v>
      </c>
      <c r="E75" s="1">
        <f>VLOOKUP(B75,patients!$A:$K,5,FALSE)</f>
        <v>37177</v>
      </c>
      <c r="F75">
        <f>VLOOKUP(B75,patients!$A:$K,6,FALSE)</f>
        <v>7081396733</v>
      </c>
      <c r="G75" t="str">
        <f>VLOOKUP(B75,patients!$A:$K,7,FALSE)</f>
        <v>123 Elm St</v>
      </c>
      <c r="H75" s="1">
        <f>VLOOKUP(B75,patients!$A:$K,8,FALSE)</f>
        <v>44797</v>
      </c>
      <c r="I75" t="str">
        <f>VLOOKUP(B75,patients!$A:$K,11,FALSE)</f>
        <v>michael.taylor@mail.com</v>
      </c>
      <c r="J75" t="s">
        <v>74</v>
      </c>
      <c r="K75" t="str">
        <f>VLOOKUP(J75,doctors!$A:$H,2,FALSE)&amp;" "&amp;VLOOKUP(J75,doctors!$A:$H,3,FALSE)</f>
        <v>Sarah Taylor</v>
      </c>
      <c r="L75" t="str">
        <f>VLOOKUP(J75,doctors!$A:$H,4,FALSE)</f>
        <v>Dermatology</v>
      </c>
      <c r="M75">
        <f>VLOOKUP(J75,doctors!$A:$H,5,FALSE)</f>
        <v>9118538547</v>
      </c>
      <c r="N75" t="str">
        <f>VLOOKUP(J75,doctors!$A:$H,7,FALSE)</f>
        <v>Central Hospital</v>
      </c>
      <c r="O75" s="1">
        <v>45130</v>
      </c>
      <c r="P75" s="2">
        <v>0.5625</v>
      </c>
      <c r="Q75" t="s">
        <v>10</v>
      </c>
      <c r="R75" t="s">
        <v>15</v>
      </c>
      <c r="S75" t="s">
        <v>511</v>
      </c>
      <c r="T75" t="s">
        <v>440</v>
      </c>
      <c r="U75" s="3">
        <v>3175.14</v>
      </c>
      <c r="V75" s="1">
        <v>45130</v>
      </c>
      <c r="W75" t="s">
        <v>722</v>
      </c>
      <c r="X75" s="1">
        <v>45130</v>
      </c>
      <c r="Y75" s="3">
        <v>3175.14</v>
      </c>
      <c r="Z75" t="s">
        <v>652</v>
      </c>
      <c r="AA75" t="s">
        <v>650</v>
      </c>
    </row>
    <row r="76" spans="1:27" x14ac:dyDescent="0.35">
      <c r="A76" t="s">
        <v>137</v>
      </c>
      <c r="B76" t="s">
        <v>129</v>
      </c>
      <c r="C76" t="str">
        <f>VLOOKUP(B76,patients!$A:$K,2,FALSE)&amp;" "&amp;VLOOKUP('HOSPITAL MANAGEMENT DATA'!B76,patients!$A:$K,3,FALSE)</f>
        <v>Linda Brown</v>
      </c>
      <c r="D76" t="str">
        <f>VLOOKUP(B76,patients!$A:$K,4,FALSE)</f>
        <v>M</v>
      </c>
      <c r="E76" s="1">
        <f>VLOOKUP(B76,patients!$A:$K,5,FALSE)</f>
        <v>29305</v>
      </c>
      <c r="F76">
        <f>VLOOKUP(B76,patients!$A:$K,6,FALSE)</f>
        <v>9127665406</v>
      </c>
      <c r="G76" t="str">
        <f>VLOOKUP(B76,patients!$A:$K,7,FALSE)</f>
        <v>789 Pine Rd</v>
      </c>
      <c r="H76" s="1">
        <f>VLOOKUP(B76,patients!$A:$K,8,FALSE)</f>
        <v>44760</v>
      </c>
      <c r="I76" t="str">
        <f>VLOOKUP(B76,patients!$A:$K,11,FALSE)</f>
        <v>linda.brown@mail.com</v>
      </c>
      <c r="J76" t="s">
        <v>9</v>
      </c>
      <c r="K76" t="str">
        <f>VLOOKUP(J76,doctors!$A:$H,2,FALSE)&amp;" "&amp;VLOOKUP(J76,doctors!$A:$H,3,FALSE)</f>
        <v>Sarah Smith</v>
      </c>
      <c r="L76" t="str">
        <f>VLOOKUP(J76,doctors!$A:$H,4,FALSE)</f>
        <v>Pediatrics</v>
      </c>
      <c r="M76">
        <f>VLOOKUP(J76,doctors!$A:$H,5,FALSE)</f>
        <v>7387087517</v>
      </c>
      <c r="N76" t="str">
        <f>VLOOKUP(J76,doctors!$A:$H,7,FALSE)</f>
        <v>Central Hospital</v>
      </c>
      <c r="O76" s="1">
        <v>45054</v>
      </c>
      <c r="P76" s="2">
        <v>0.58333333333333337</v>
      </c>
      <c r="Q76" t="s">
        <v>38</v>
      </c>
      <c r="R76" t="s">
        <v>19</v>
      </c>
      <c r="S76" t="s">
        <v>512</v>
      </c>
      <c r="T76" t="s">
        <v>431</v>
      </c>
      <c r="U76" s="3">
        <v>2735.45</v>
      </c>
      <c r="V76" s="1">
        <v>45054</v>
      </c>
      <c r="W76" t="s">
        <v>723</v>
      </c>
      <c r="X76" s="1">
        <v>45054</v>
      </c>
      <c r="Y76" s="3">
        <v>2735.45</v>
      </c>
      <c r="Z76" t="s">
        <v>655</v>
      </c>
      <c r="AA76" t="s">
        <v>650</v>
      </c>
    </row>
    <row r="77" spans="1:27" x14ac:dyDescent="0.35">
      <c r="A77" t="s">
        <v>138</v>
      </c>
      <c r="B77" t="s">
        <v>139</v>
      </c>
      <c r="C77" t="str">
        <f>VLOOKUP(B77,patients!$A:$K,2,FALSE)&amp;" "&amp;VLOOKUP('HOSPITAL MANAGEMENT DATA'!B77,patients!$A:$K,3,FALSE)</f>
        <v>Robert Taylor</v>
      </c>
      <c r="D77" t="str">
        <f>VLOOKUP(B77,patients!$A:$K,4,FALSE)</f>
        <v>F</v>
      </c>
      <c r="E77" s="1">
        <f>VLOOKUP(B77,patients!$A:$K,5,FALSE)</f>
        <v>27830</v>
      </c>
      <c r="F77">
        <f>VLOOKUP(B77,patients!$A:$K,6,FALSE)</f>
        <v>9449458981</v>
      </c>
      <c r="G77" t="str">
        <f>VLOOKUP(B77,patients!$A:$K,7,FALSE)</f>
        <v>321 Maple Dr</v>
      </c>
      <c r="H77" s="1">
        <f>VLOOKUP(B77,patients!$A:$K,8,FALSE)</f>
        <v>44952</v>
      </c>
      <c r="I77" t="str">
        <f>VLOOKUP(B77,patients!$A:$K,11,FALSE)</f>
        <v>robert.taylor@mail.com</v>
      </c>
      <c r="J77" t="s">
        <v>48</v>
      </c>
      <c r="K77" t="str">
        <f>VLOOKUP(J77,doctors!$A:$H,2,FALSE)&amp;" "&amp;VLOOKUP(J77,doctors!$A:$H,3,FALSE)</f>
        <v>Jane Davis</v>
      </c>
      <c r="L77" t="str">
        <f>VLOOKUP(J77,doctors!$A:$H,4,FALSE)</f>
        <v>Pediatrics</v>
      </c>
      <c r="M77">
        <f>VLOOKUP(J77,doctors!$A:$H,5,FALSE)</f>
        <v>9004382050</v>
      </c>
      <c r="N77" t="str">
        <f>VLOOKUP(J77,doctors!$A:$H,7,FALSE)</f>
        <v>Eastside Clinic</v>
      </c>
      <c r="O77" s="1">
        <v>45257</v>
      </c>
      <c r="P77" s="2">
        <v>0.5</v>
      </c>
      <c r="Q77" t="s">
        <v>10</v>
      </c>
      <c r="R77" t="s">
        <v>19</v>
      </c>
      <c r="S77" t="s">
        <v>513</v>
      </c>
      <c r="T77" t="s">
        <v>431</v>
      </c>
      <c r="U77" s="3">
        <v>4945.03</v>
      </c>
      <c r="V77" s="1">
        <v>45257</v>
      </c>
      <c r="W77" t="s">
        <v>724</v>
      </c>
      <c r="X77" s="1">
        <v>45257</v>
      </c>
      <c r="Y77" s="3">
        <v>4945.03</v>
      </c>
      <c r="Z77" t="s">
        <v>652</v>
      </c>
      <c r="AA77" t="s">
        <v>645</v>
      </c>
    </row>
    <row r="78" spans="1:27" x14ac:dyDescent="0.35">
      <c r="A78" t="s">
        <v>140</v>
      </c>
      <c r="B78" t="s">
        <v>45</v>
      </c>
      <c r="C78" t="str">
        <f>VLOOKUP(B78,patients!$A:$K,2,FALSE)&amp;" "&amp;VLOOKUP('HOSPITAL MANAGEMENT DATA'!B78,patients!$A:$K,3,FALSE)</f>
        <v>David Smith</v>
      </c>
      <c r="D78" t="str">
        <f>VLOOKUP(B78,patients!$A:$K,4,FALSE)</f>
        <v>M</v>
      </c>
      <c r="E78" s="1">
        <f>VLOOKUP(B78,patients!$A:$K,5,FALSE)</f>
        <v>38487</v>
      </c>
      <c r="F78">
        <f>VLOOKUP(B78,patients!$A:$K,6,FALSE)</f>
        <v>8923607677</v>
      </c>
      <c r="G78" t="str">
        <f>VLOOKUP(B78,patients!$A:$K,7,FALSE)</f>
        <v>789 Pine Rd</v>
      </c>
      <c r="H78" s="1">
        <f>VLOOKUP(B78,patients!$A:$K,8,FALSE)</f>
        <v>45035</v>
      </c>
      <c r="I78" t="str">
        <f>VLOOKUP(B78,patients!$A:$K,11,FALSE)</f>
        <v>david.smith@mail.com</v>
      </c>
      <c r="J78" t="s">
        <v>35</v>
      </c>
      <c r="K78" t="str">
        <f>VLOOKUP(J78,doctors!$A:$H,2,FALSE)&amp;" "&amp;VLOOKUP(J78,doctors!$A:$H,3,FALSE)</f>
        <v>Linda Wilson</v>
      </c>
      <c r="L78" t="str">
        <f>VLOOKUP(J78,doctors!$A:$H,4,FALSE)</f>
        <v>Oncology</v>
      </c>
      <c r="M78">
        <f>VLOOKUP(J78,doctors!$A:$H,5,FALSE)</f>
        <v>6176383634</v>
      </c>
      <c r="N78" t="str">
        <f>VLOOKUP(J78,doctors!$A:$H,7,FALSE)</f>
        <v>Eastside Clinic</v>
      </c>
      <c r="O78" s="1">
        <v>45274</v>
      </c>
      <c r="P78" s="2">
        <v>0.71875</v>
      </c>
      <c r="Q78" t="s">
        <v>29</v>
      </c>
      <c r="R78" t="s">
        <v>41</v>
      </c>
      <c r="S78" t="s">
        <v>514</v>
      </c>
      <c r="T78" t="s">
        <v>440</v>
      </c>
      <c r="U78" s="3">
        <v>1113.98</v>
      </c>
      <c r="V78" s="1">
        <v>45274</v>
      </c>
      <c r="W78" t="s">
        <v>725</v>
      </c>
      <c r="X78" s="1">
        <v>45274</v>
      </c>
      <c r="Y78" s="3">
        <v>1113.98</v>
      </c>
      <c r="Z78" t="s">
        <v>652</v>
      </c>
      <c r="AA78" t="s">
        <v>647</v>
      </c>
    </row>
    <row r="79" spans="1:27" x14ac:dyDescent="0.35">
      <c r="A79" t="s">
        <v>141</v>
      </c>
      <c r="B79" t="s">
        <v>142</v>
      </c>
      <c r="C79" t="str">
        <f>VLOOKUP(B79,patients!$A:$K,2,FALSE)&amp;" "&amp;VLOOKUP('HOSPITAL MANAGEMENT DATA'!B79,patients!$A:$K,3,FALSE)</f>
        <v>Laura Johnson</v>
      </c>
      <c r="D79" t="str">
        <f>VLOOKUP(B79,patients!$A:$K,4,FALSE)</f>
        <v>F</v>
      </c>
      <c r="E79" s="1">
        <f>VLOOKUP(B79,patients!$A:$K,5,FALSE)</f>
        <v>32960</v>
      </c>
      <c r="F79">
        <f>VLOOKUP(B79,patients!$A:$K,6,FALSE)</f>
        <v>9059178882</v>
      </c>
      <c r="G79" t="str">
        <f>VLOOKUP(B79,patients!$A:$K,7,FALSE)</f>
        <v>321 Maple Dr</v>
      </c>
      <c r="H79" s="1">
        <f>VLOOKUP(B79,patients!$A:$K,8,FALSE)</f>
        <v>44553</v>
      </c>
      <c r="I79" t="str">
        <f>VLOOKUP(B79,patients!$A:$K,11,FALSE)</f>
        <v>laura.johnson@mail.com</v>
      </c>
      <c r="J79" t="s">
        <v>54</v>
      </c>
      <c r="K79" t="str">
        <f>VLOOKUP(J79,doctors!$A:$H,2,FALSE)&amp;" "&amp;VLOOKUP(J79,doctors!$A:$H,3,FALSE)</f>
        <v>Linda Brown</v>
      </c>
      <c r="L79" t="str">
        <f>VLOOKUP(J79,doctors!$A:$H,4,FALSE)</f>
        <v>Dermatology</v>
      </c>
      <c r="M79">
        <f>VLOOKUP(J79,doctors!$A:$H,5,FALSE)</f>
        <v>9069162601</v>
      </c>
      <c r="N79" t="str">
        <f>VLOOKUP(J79,doctors!$A:$H,7,FALSE)</f>
        <v>Westside Clinic</v>
      </c>
      <c r="O79" s="1">
        <v>45186</v>
      </c>
      <c r="P79" s="2">
        <v>0.46875</v>
      </c>
      <c r="Q79" t="s">
        <v>18</v>
      </c>
      <c r="R79" t="s">
        <v>15</v>
      </c>
      <c r="S79" t="s">
        <v>515</v>
      </c>
      <c r="T79" t="s">
        <v>456</v>
      </c>
      <c r="U79" s="3">
        <v>3628.15</v>
      </c>
      <c r="V79" s="1">
        <v>45186</v>
      </c>
      <c r="W79" t="s">
        <v>726</v>
      </c>
      <c r="X79" s="1">
        <v>45186</v>
      </c>
      <c r="Y79" s="3">
        <v>3628.15</v>
      </c>
      <c r="Z79" t="s">
        <v>652</v>
      </c>
      <c r="AA79" t="s">
        <v>647</v>
      </c>
    </row>
    <row r="80" spans="1:27" x14ac:dyDescent="0.35">
      <c r="A80" t="s">
        <v>143</v>
      </c>
      <c r="B80" t="s">
        <v>50</v>
      </c>
      <c r="C80" t="str">
        <f>VLOOKUP(B80,patients!$A:$K,2,FALSE)&amp;" "&amp;VLOOKUP('HOSPITAL MANAGEMENT DATA'!B80,patients!$A:$K,3,FALSE)</f>
        <v>Laura Davis</v>
      </c>
      <c r="D80" t="str">
        <f>VLOOKUP(B80,patients!$A:$K,4,FALSE)</f>
        <v>F</v>
      </c>
      <c r="E80" s="1">
        <f>VLOOKUP(B80,patients!$A:$K,5,FALSE)</f>
        <v>33580</v>
      </c>
      <c r="F80">
        <f>VLOOKUP(B80,patients!$A:$K,6,FALSE)</f>
        <v>8135666049</v>
      </c>
      <c r="G80" t="str">
        <f>VLOOKUP(B80,patients!$A:$K,7,FALSE)</f>
        <v>321 Maple Dr</v>
      </c>
      <c r="H80" s="1">
        <f>VLOOKUP(B80,patients!$A:$K,8,FALSE)</f>
        <v>45043</v>
      </c>
      <c r="I80" t="str">
        <f>VLOOKUP(B80,patients!$A:$K,11,FALSE)</f>
        <v>laura.davis@mail.com</v>
      </c>
      <c r="J80" t="s">
        <v>48</v>
      </c>
      <c r="K80" t="str">
        <f>VLOOKUP(J80,doctors!$A:$H,2,FALSE)&amp;" "&amp;VLOOKUP(J80,doctors!$A:$H,3,FALSE)</f>
        <v>Jane Davis</v>
      </c>
      <c r="L80" t="str">
        <f>VLOOKUP(J80,doctors!$A:$H,4,FALSE)</f>
        <v>Pediatrics</v>
      </c>
      <c r="M80">
        <f>VLOOKUP(J80,doctors!$A:$H,5,FALSE)</f>
        <v>9004382050</v>
      </c>
      <c r="N80" t="str">
        <f>VLOOKUP(J80,doctors!$A:$H,7,FALSE)</f>
        <v>Eastside Clinic</v>
      </c>
      <c r="O80" s="1">
        <v>45286</v>
      </c>
      <c r="P80" s="2">
        <v>0.58333333333333337</v>
      </c>
      <c r="Q80" t="s">
        <v>38</v>
      </c>
      <c r="R80" t="s">
        <v>19</v>
      </c>
      <c r="S80" t="s">
        <v>516</v>
      </c>
      <c r="T80" t="s">
        <v>456</v>
      </c>
      <c r="U80" s="3">
        <v>2319.4299999999998</v>
      </c>
      <c r="V80" s="1">
        <v>45286</v>
      </c>
      <c r="W80" t="s">
        <v>727</v>
      </c>
      <c r="X80" s="1">
        <v>45286</v>
      </c>
      <c r="Y80" s="3">
        <v>2319.4299999999998</v>
      </c>
      <c r="Z80" t="s">
        <v>644</v>
      </c>
      <c r="AA80" t="s">
        <v>647</v>
      </c>
    </row>
    <row r="81" spans="1:27" x14ac:dyDescent="0.35">
      <c r="A81" t="s">
        <v>144</v>
      </c>
      <c r="B81" t="s">
        <v>97</v>
      </c>
      <c r="C81" t="str">
        <f>VLOOKUP(B81,patients!$A:$K,2,FALSE)&amp;" "&amp;VLOOKUP('HOSPITAL MANAGEMENT DATA'!B81,patients!$A:$K,3,FALSE)</f>
        <v>Robert Miller</v>
      </c>
      <c r="D81" t="str">
        <f>VLOOKUP(B81,patients!$A:$K,4,FALSE)</f>
        <v>M</v>
      </c>
      <c r="E81" s="1">
        <f>VLOOKUP(B81,patients!$A:$K,5,FALSE)</f>
        <v>31791</v>
      </c>
      <c r="F81">
        <f>VLOOKUP(B81,patients!$A:$K,6,FALSE)</f>
        <v>8280346676</v>
      </c>
      <c r="G81" t="str">
        <f>VLOOKUP(B81,patients!$A:$K,7,FALSE)</f>
        <v>321 Maple Dr</v>
      </c>
      <c r="H81" s="1">
        <f>VLOOKUP(B81,patients!$A:$K,8,FALSE)</f>
        <v>44740</v>
      </c>
      <c r="I81" t="str">
        <f>VLOOKUP(B81,patients!$A:$K,11,FALSE)</f>
        <v>robert.miller@mail.com</v>
      </c>
      <c r="J81" t="s">
        <v>74</v>
      </c>
      <c r="K81" t="str">
        <f>VLOOKUP(J81,doctors!$A:$H,2,FALSE)&amp;" "&amp;VLOOKUP(J81,doctors!$A:$H,3,FALSE)</f>
        <v>Sarah Taylor</v>
      </c>
      <c r="L81" t="str">
        <f>VLOOKUP(J81,doctors!$A:$H,4,FALSE)</f>
        <v>Dermatology</v>
      </c>
      <c r="M81">
        <f>VLOOKUP(J81,doctors!$A:$H,5,FALSE)</f>
        <v>9118538547</v>
      </c>
      <c r="N81" t="str">
        <f>VLOOKUP(J81,doctors!$A:$H,7,FALSE)</f>
        <v>Central Hospital</v>
      </c>
      <c r="O81" s="1">
        <v>45103</v>
      </c>
      <c r="P81" s="2">
        <v>0.35416666666666669</v>
      </c>
      <c r="Q81" t="s">
        <v>18</v>
      </c>
      <c r="R81" t="s">
        <v>11</v>
      </c>
      <c r="S81" t="s">
        <v>517</v>
      </c>
      <c r="T81" t="s">
        <v>431</v>
      </c>
      <c r="U81" s="3">
        <v>2426.9</v>
      </c>
      <c r="V81" s="1">
        <v>45103</v>
      </c>
      <c r="W81" t="s">
        <v>728</v>
      </c>
      <c r="X81" s="1">
        <v>45103</v>
      </c>
      <c r="Y81" s="3">
        <v>2426.9</v>
      </c>
      <c r="Z81" t="s">
        <v>652</v>
      </c>
      <c r="AA81" t="s">
        <v>645</v>
      </c>
    </row>
    <row r="82" spans="1:27" x14ac:dyDescent="0.35">
      <c r="A82" t="s">
        <v>145</v>
      </c>
      <c r="B82" t="s">
        <v>72</v>
      </c>
      <c r="C82" t="str">
        <f>VLOOKUP(B82,patients!$A:$K,2,FALSE)&amp;" "&amp;VLOOKUP('HOSPITAL MANAGEMENT DATA'!B82,patients!$A:$K,3,FALSE)</f>
        <v>Michael Taylor</v>
      </c>
      <c r="D82" t="str">
        <f>VLOOKUP(B82,patients!$A:$K,4,FALSE)</f>
        <v>F</v>
      </c>
      <c r="E82" s="1">
        <f>VLOOKUP(B82,patients!$A:$K,5,FALSE)</f>
        <v>31656</v>
      </c>
      <c r="F82">
        <f>VLOOKUP(B82,patients!$A:$K,6,FALSE)</f>
        <v>8019925828</v>
      </c>
      <c r="G82" t="str">
        <f>VLOOKUP(B82,patients!$A:$K,7,FALSE)</f>
        <v>456 Oak Ave</v>
      </c>
      <c r="H82" s="1">
        <f>VLOOKUP(B82,patients!$A:$K,8,FALSE)</f>
        <v>44408</v>
      </c>
      <c r="I82" t="str">
        <f>VLOOKUP(B82,patients!$A:$K,11,FALSE)</f>
        <v>michael.taylor@mail.com</v>
      </c>
      <c r="J82" t="s">
        <v>32</v>
      </c>
      <c r="K82" t="str">
        <f>VLOOKUP(J82,doctors!$A:$H,2,FALSE)&amp;" "&amp;VLOOKUP(J82,doctors!$A:$H,3,FALSE)</f>
        <v>Robert Davis</v>
      </c>
      <c r="L82" t="str">
        <f>VLOOKUP(J82,doctors!$A:$H,4,FALSE)</f>
        <v>Oncology</v>
      </c>
      <c r="M82">
        <f>VLOOKUP(J82,doctors!$A:$H,5,FALSE)</f>
        <v>8217493115</v>
      </c>
      <c r="N82" t="str">
        <f>VLOOKUP(J82,doctors!$A:$H,7,FALSE)</f>
        <v>Westside Clinic</v>
      </c>
      <c r="O82" s="1">
        <v>44932</v>
      </c>
      <c r="P82" s="2">
        <v>0.5625</v>
      </c>
      <c r="Q82" t="s">
        <v>10</v>
      </c>
      <c r="R82" t="s">
        <v>19</v>
      </c>
      <c r="S82" t="s">
        <v>518</v>
      </c>
      <c r="T82" t="s">
        <v>440</v>
      </c>
      <c r="U82" s="3">
        <v>3729.19</v>
      </c>
      <c r="V82" s="1">
        <v>44932</v>
      </c>
      <c r="W82" t="s">
        <v>729</v>
      </c>
      <c r="X82" s="1">
        <v>44932</v>
      </c>
      <c r="Y82" s="3">
        <v>3729.19</v>
      </c>
      <c r="Z82" t="s">
        <v>644</v>
      </c>
      <c r="AA82" t="s">
        <v>645</v>
      </c>
    </row>
    <row r="83" spans="1:27" x14ac:dyDescent="0.35">
      <c r="A83" t="s">
        <v>146</v>
      </c>
      <c r="B83" t="s">
        <v>112</v>
      </c>
      <c r="C83" t="str">
        <f>VLOOKUP(B83,patients!$A:$K,2,FALSE)&amp;" "&amp;VLOOKUP('HOSPITAL MANAGEMENT DATA'!B83,patients!$A:$K,3,FALSE)</f>
        <v>Emily Smith</v>
      </c>
      <c r="D83" t="str">
        <f>VLOOKUP(B83,patients!$A:$K,4,FALSE)</f>
        <v>F</v>
      </c>
      <c r="E83" s="1">
        <f>VLOOKUP(B83,patients!$A:$K,5,FALSE)</f>
        <v>30967</v>
      </c>
      <c r="F83">
        <f>VLOOKUP(B83,patients!$A:$K,6,FALSE)</f>
        <v>8228188767</v>
      </c>
      <c r="G83" t="str">
        <f>VLOOKUP(B83,patients!$A:$K,7,FALSE)</f>
        <v>321 Maple Dr</v>
      </c>
      <c r="H83" s="1">
        <f>VLOOKUP(B83,patients!$A:$K,8,FALSE)</f>
        <v>44576</v>
      </c>
      <c r="I83" t="str">
        <f>VLOOKUP(B83,patients!$A:$K,11,FALSE)</f>
        <v>emily.smith@mail.com</v>
      </c>
      <c r="J83" t="s">
        <v>54</v>
      </c>
      <c r="K83" t="str">
        <f>VLOOKUP(J83,doctors!$A:$H,2,FALSE)&amp;" "&amp;VLOOKUP(J83,doctors!$A:$H,3,FALSE)</f>
        <v>Linda Brown</v>
      </c>
      <c r="L83" t="str">
        <f>VLOOKUP(J83,doctors!$A:$H,4,FALSE)</f>
        <v>Dermatology</v>
      </c>
      <c r="M83">
        <f>VLOOKUP(J83,doctors!$A:$H,5,FALSE)</f>
        <v>9069162601</v>
      </c>
      <c r="N83" t="str">
        <f>VLOOKUP(J83,doctors!$A:$H,7,FALSE)</f>
        <v>Westside Clinic</v>
      </c>
      <c r="O83" s="1">
        <v>44946</v>
      </c>
      <c r="P83" s="2">
        <v>0.44791666666666669</v>
      </c>
      <c r="Q83" t="s">
        <v>38</v>
      </c>
      <c r="R83" t="s">
        <v>11</v>
      </c>
      <c r="S83" t="s">
        <v>519</v>
      </c>
      <c r="T83" t="s">
        <v>456</v>
      </c>
      <c r="U83" s="3">
        <v>3615.96</v>
      </c>
      <c r="V83" s="1">
        <v>44946</v>
      </c>
      <c r="W83" t="s">
        <v>730</v>
      </c>
      <c r="X83" s="1">
        <v>44946</v>
      </c>
      <c r="Y83" s="3">
        <v>3615.96</v>
      </c>
      <c r="Z83" t="s">
        <v>644</v>
      </c>
      <c r="AA83" t="s">
        <v>645</v>
      </c>
    </row>
    <row r="84" spans="1:27" x14ac:dyDescent="0.35">
      <c r="A84" t="s">
        <v>147</v>
      </c>
      <c r="B84" t="s">
        <v>123</v>
      </c>
      <c r="C84" t="str">
        <f>VLOOKUP(B84,patients!$A:$K,2,FALSE)&amp;" "&amp;VLOOKUP('HOSPITAL MANAGEMENT DATA'!B84,patients!$A:$K,3,FALSE)</f>
        <v>Laura Wilson</v>
      </c>
      <c r="D84" t="str">
        <f>VLOOKUP(B84,patients!$A:$K,4,FALSE)</f>
        <v>M</v>
      </c>
      <c r="E84" s="1">
        <f>VLOOKUP(B84,patients!$A:$K,5,FALSE)</f>
        <v>34330</v>
      </c>
      <c r="F84">
        <f>VLOOKUP(B84,patients!$A:$K,6,FALSE)</f>
        <v>8301134730</v>
      </c>
      <c r="G84" t="str">
        <f>VLOOKUP(B84,patients!$A:$K,7,FALSE)</f>
        <v>321 Maple Dr</v>
      </c>
      <c r="H84" s="1">
        <f>VLOOKUP(B84,patients!$A:$K,8,FALSE)</f>
        <v>45044</v>
      </c>
      <c r="I84" t="str">
        <f>VLOOKUP(B84,patients!$A:$K,11,FALSE)</f>
        <v>laura.wilson@mail.com</v>
      </c>
      <c r="J84" t="s">
        <v>59</v>
      </c>
      <c r="K84" t="str">
        <f>VLOOKUP(J84,doctors!$A:$H,2,FALSE)&amp;" "&amp;VLOOKUP(J84,doctors!$A:$H,3,FALSE)</f>
        <v>David Taylor</v>
      </c>
      <c r="L84" t="str">
        <f>VLOOKUP(J84,doctors!$A:$H,4,FALSE)</f>
        <v>Dermatology</v>
      </c>
      <c r="M84">
        <f>VLOOKUP(J84,doctors!$A:$H,5,FALSE)</f>
        <v>8322010158</v>
      </c>
      <c r="N84" t="str">
        <f>VLOOKUP(J84,doctors!$A:$H,7,FALSE)</f>
        <v>Westside Clinic</v>
      </c>
      <c r="O84" s="1">
        <v>45237</v>
      </c>
      <c r="P84" s="2">
        <v>0.52083333333333337</v>
      </c>
      <c r="Q84" t="s">
        <v>26</v>
      </c>
      <c r="R84" t="s">
        <v>41</v>
      </c>
      <c r="S84" t="s">
        <v>520</v>
      </c>
      <c r="T84" t="s">
        <v>440</v>
      </c>
      <c r="U84" s="3">
        <v>4960.6499999999996</v>
      </c>
      <c r="V84" s="1">
        <v>45237</v>
      </c>
      <c r="W84" t="s">
        <v>731</v>
      </c>
      <c r="X84" s="1">
        <v>45237</v>
      </c>
      <c r="Y84" s="3">
        <v>4960.6499999999996</v>
      </c>
      <c r="Z84" t="s">
        <v>652</v>
      </c>
      <c r="AA84" t="s">
        <v>645</v>
      </c>
    </row>
    <row r="85" spans="1:27" x14ac:dyDescent="0.35">
      <c r="A85" t="s">
        <v>148</v>
      </c>
      <c r="B85" t="s">
        <v>125</v>
      </c>
      <c r="C85" t="str">
        <f>VLOOKUP(B85,patients!$A:$K,2,FALSE)&amp;" "&amp;VLOOKUP('HOSPITAL MANAGEMENT DATA'!B85,patients!$A:$K,3,FALSE)</f>
        <v>David Wilson</v>
      </c>
      <c r="D85" t="str">
        <f>VLOOKUP(B85,patients!$A:$K,4,FALSE)</f>
        <v>F</v>
      </c>
      <c r="E85" s="1">
        <f>VLOOKUP(B85,patients!$A:$K,5,FALSE)</f>
        <v>34072</v>
      </c>
      <c r="F85">
        <f>VLOOKUP(B85,patients!$A:$K,6,FALSE)</f>
        <v>7039619487</v>
      </c>
      <c r="G85" t="str">
        <f>VLOOKUP(B85,patients!$A:$K,7,FALSE)</f>
        <v>123 Elm St</v>
      </c>
      <c r="H85" s="1">
        <f>VLOOKUP(B85,patients!$A:$K,8,FALSE)</f>
        <v>45116</v>
      </c>
      <c r="I85" t="str">
        <f>VLOOKUP(B85,patients!$A:$K,11,FALSE)</f>
        <v>david.wilson@mail.com</v>
      </c>
      <c r="J85" t="s">
        <v>22</v>
      </c>
      <c r="K85" t="str">
        <f>VLOOKUP(J85,doctors!$A:$H,2,FALSE)&amp;" "&amp;VLOOKUP(J85,doctors!$A:$H,3,FALSE)</f>
        <v>Alex Davis</v>
      </c>
      <c r="L85" t="str">
        <f>VLOOKUP(J85,doctors!$A:$H,4,FALSE)</f>
        <v>Pediatrics</v>
      </c>
      <c r="M85">
        <f>VLOOKUP(J85,doctors!$A:$H,5,FALSE)</f>
        <v>6570137231</v>
      </c>
      <c r="N85" t="str">
        <f>VLOOKUP(J85,doctors!$A:$H,7,FALSE)</f>
        <v>Central Hospital</v>
      </c>
      <c r="O85" s="1">
        <v>45077</v>
      </c>
      <c r="P85" s="2">
        <v>0.66666666666666663</v>
      </c>
      <c r="Q85" t="s">
        <v>18</v>
      </c>
      <c r="R85" t="s">
        <v>11</v>
      </c>
      <c r="S85" t="s">
        <v>521</v>
      </c>
      <c r="T85" t="s">
        <v>440</v>
      </c>
      <c r="U85" s="3">
        <v>1077.77</v>
      </c>
      <c r="V85" s="1">
        <v>45077</v>
      </c>
      <c r="W85" t="s">
        <v>732</v>
      </c>
      <c r="X85" s="1">
        <v>45077</v>
      </c>
      <c r="Y85" s="3">
        <v>1077.77</v>
      </c>
      <c r="Z85" t="s">
        <v>644</v>
      </c>
      <c r="AA85" t="s">
        <v>645</v>
      </c>
    </row>
    <row r="86" spans="1:27" x14ac:dyDescent="0.35">
      <c r="A86" t="s">
        <v>149</v>
      </c>
      <c r="B86" t="s">
        <v>90</v>
      </c>
      <c r="C86" t="str">
        <f>VLOOKUP(B86,patients!$A:$K,2,FALSE)&amp;" "&amp;VLOOKUP('HOSPITAL MANAGEMENT DATA'!B86,patients!$A:$K,3,FALSE)</f>
        <v>Linda Johnson</v>
      </c>
      <c r="D86" t="str">
        <f>VLOOKUP(B86,patients!$A:$K,4,FALSE)</f>
        <v>M</v>
      </c>
      <c r="E86" s="1">
        <f>VLOOKUP(B86,patients!$A:$K,5,FALSE)</f>
        <v>34387</v>
      </c>
      <c r="F86">
        <f>VLOOKUP(B86,patients!$A:$K,6,FALSE)</f>
        <v>6141951830</v>
      </c>
      <c r="G86" t="str">
        <f>VLOOKUP(B86,patients!$A:$K,7,FALSE)</f>
        <v>789 Pine Rd</v>
      </c>
      <c r="H86" s="1">
        <f>VLOOKUP(B86,patients!$A:$K,8,FALSE)</f>
        <v>44557</v>
      </c>
      <c r="I86" t="str">
        <f>VLOOKUP(B86,patients!$A:$K,11,FALSE)</f>
        <v>linda.johnson@mail.com</v>
      </c>
      <c r="J86" t="s">
        <v>59</v>
      </c>
      <c r="K86" t="str">
        <f>VLOOKUP(J86,doctors!$A:$H,2,FALSE)&amp;" "&amp;VLOOKUP(J86,doctors!$A:$H,3,FALSE)</f>
        <v>David Taylor</v>
      </c>
      <c r="L86" t="str">
        <f>VLOOKUP(J86,doctors!$A:$H,4,FALSE)</f>
        <v>Dermatology</v>
      </c>
      <c r="M86">
        <f>VLOOKUP(J86,doctors!$A:$H,5,FALSE)</f>
        <v>8322010158</v>
      </c>
      <c r="N86" t="str">
        <f>VLOOKUP(J86,doctors!$A:$H,7,FALSE)</f>
        <v>Westside Clinic</v>
      </c>
      <c r="O86" s="1">
        <v>44975</v>
      </c>
      <c r="P86" s="2">
        <v>0.67708333333333337</v>
      </c>
      <c r="Q86" t="s">
        <v>38</v>
      </c>
      <c r="R86" t="s">
        <v>19</v>
      </c>
      <c r="S86" t="s">
        <v>522</v>
      </c>
      <c r="T86" t="s">
        <v>440</v>
      </c>
      <c r="U86" s="3">
        <v>968.49</v>
      </c>
      <c r="V86" s="1">
        <v>44975</v>
      </c>
      <c r="W86" t="s">
        <v>733</v>
      </c>
      <c r="X86" s="1">
        <v>44975</v>
      </c>
      <c r="Y86" s="3">
        <v>968.49</v>
      </c>
      <c r="Z86" t="s">
        <v>652</v>
      </c>
      <c r="AA86" t="s">
        <v>647</v>
      </c>
    </row>
    <row r="87" spans="1:27" x14ac:dyDescent="0.35">
      <c r="A87" t="s">
        <v>150</v>
      </c>
      <c r="B87" t="s">
        <v>151</v>
      </c>
      <c r="C87" t="str">
        <f>VLOOKUP(B87,patients!$A:$K,2,FALSE)&amp;" "&amp;VLOOKUP('HOSPITAL MANAGEMENT DATA'!B87,patients!$A:$K,3,FALSE)</f>
        <v>Jane Jones</v>
      </c>
      <c r="D87" t="str">
        <f>VLOOKUP(B87,patients!$A:$K,4,FALSE)</f>
        <v>M</v>
      </c>
      <c r="E87" s="1">
        <f>VLOOKUP(B87,patients!$A:$K,5,FALSE)</f>
        <v>33359</v>
      </c>
      <c r="F87">
        <f>VLOOKUP(B87,patients!$A:$K,6,FALSE)</f>
        <v>6158428240</v>
      </c>
      <c r="G87" t="str">
        <f>VLOOKUP(B87,patients!$A:$K,7,FALSE)</f>
        <v>456 Oak Ave</v>
      </c>
      <c r="H87" s="1">
        <f>VLOOKUP(B87,patients!$A:$K,8,FALSE)</f>
        <v>44830</v>
      </c>
      <c r="I87" t="str">
        <f>VLOOKUP(B87,patients!$A:$K,11,FALSE)</f>
        <v>jane.jones@mail.com</v>
      </c>
      <c r="J87" t="s">
        <v>48</v>
      </c>
      <c r="K87" t="str">
        <f>VLOOKUP(J87,doctors!$A:$H,2,FALSE)&amp;" "&amp;VLOOKUP(J87,doctors!$A:$H,3,FALSE)</f>
        <v>Jane Davis</v>
      </c>
      <c r="L87" t="str">
        <f>VLOOKUP(J87,doctors!$A:$H,4,FALSE)</f>
        <v>Pediatrics</v>
      </c>
      <c r="M87">
        <f>VLOOKUP(J87,doctors!$A:$H,5,FALSE)</f>
        <v>9004382050</v>
      </c>
      <c r="N87" t="str">
        <f>VLOOKUP(J87,doctors!$A:$H,7,FALSE)</f>
        <v>Eastside Clinic</v>
      </c>
      <c r="O87" s="1">
        <v>45228</v>
      </c>
      <c r="P87" s="2">
        <v>0.45833333333333331</v>
      </c>
      <c r="Q87" t="s">
        <v>18</v>
      </c>
      <c r="R87" t="s">
        <v>19</v>
      </c>
      <c r="S87" t="s">
        <v>523</v>
      </c>
      <c r="T87" t="s">
        <v>444</v>
      </c>
      <c r="U87" s="3">
        <v>3759.52</v>
      </c>
      <c r="V87" s="1">
        <v>45228</v>
      </c>
      <c r="W87" t="s">
        <v>734</v>
      </c>
      <c r="X87" s="1">
        <v>45228</v>
      </c>
      <c r="Y87" s="3">
        <v>3759.52</v>
      </c>
      <c r="Z87" t="s">
        <v>655</v>
      </c>
      <c r="AA87" t="s">
        <v>645</v>
      </c>
    </row>
    <row r="88" spans="1:27" x14ac:dyDescent="0.35">
      <c r="A88" t="s">
        <v>152</v>
      </c>
      <c r="B88" t="s">
        <v>52</v>
      </c>
      <c r="C88" t="str">
        <f>VLOOKUP(B88,patients!$A:$K,2,FALSE)&amp;" "&amp;VLOOKUP('HOSPITAL MANAGEMENT DATA'!B88,patients!$A:$K,3,FALSE)</f>
        <v>John Taylor</v>
      </c>
      <c r="D88" t="str">
        <f>VLOOKUP(B88,patients!$A:$K,4,FALSE)</f>
        <v>M</v>
      </c>
      <c r="E88" s="1">
        <f>VLOOKUP(B88,patients!$A:$K,5,FALSE)</f>
        <v>37953</v>
      </c>
      <c r="F88">
        <f>VLOOKUP(B88,patients!$A:$K,6,FALSE)</f>
        <v>9900972256</v>
      </c>
      <c r="G88" t="str">
        <f>VLOOKUP(B88,patients!$A:$K,7,FALSE)</f>
        <v>123 Elm St</v>
      </c>
      <c r="H88" s="1">
        <f>VLOOKUP(B88,patients!$A:$K,8,FALSE)</f>
        <v>44329</v>
      </c>
      <c r="I88" t="str">
        <f>VLOOKUP(B88,patients!$A:$K,11,FALSE)</f>
        <v>john.taylor@mail.com</v>
      </c>
      <c r="J88" t="s">
        <v>59</v>
      </c>
      <c r="K88" t="str">
        <f>VLOOKUP(J88,doctors!$A:$H,2,FALSE)&amp;" "&amp;VLOOKUP(J88,doctors!$A:$H,3,FALSE)</f>
        <v>David Taylor</v>
      </c>
      <c r="L88" t="str">
        <f>VLOOKUP(J88,doctors!$A:$H,4,FALSE)</f>
        <v>Dermatology</v>
      </c>
      <c r="M88">
        <f>VLOOKUP(J88,doctors!$A:$H,5,FALSE)</f>
        <v>8322010158</v>
      </c>
      <c r="N88" t="str">
        <f>VLOOKUP(J88,doctors!$A:$H,7,FALSE)</f>
        <v>Westside Clinic</v>
      </c>
      <c r="O88" s="1">
        <v>45218</v>
      </c>
      <c r="P88" s="2">
        <v>0.51041666666666663</v>
      </c>
      <c r="Q88" t="s">
        <v>38</v>
      </c>
      <c r="R88" t="s">
        <v>19</v>
      </c>
      <c r="S88" t="s">
        <v>524</v>
      </c>
      <c r="T88" t="s">
        <v>440</v>
      </c>
      <c r="U88" s="3">
        <v>3102.74</v>
      </c>
      <c r="V88" s="1">
        <v>45218</v>
      </c>
      <c r="W88" t="s">
        <v>735</v>
      </c>
      <c r="X88" s="1">
        <v>45218</v>
      </c>
      <c r="Y88" s="3">
        <v>3102.74</v>
      </c>
      <c r="Z88" t="s">
        <v>655</v>
      </c>
      <c r="AA88" t="s">
        <v>645</v>
      </c>
    </row>
    <row r="89" spans="1:27" x14ac:dyDescent="0.35">
      <c r="A89" t="s">
        <v>153</v>
      </c>
      <c r="B89" t="s">
        <v>154</v>
      </c>
      <c r="C89" t="str">
        <f>VLOOKUP(B89,patients!$A:$K,2,FALSE)&amp;" "&amp;VLOOKUP('HOSPITAL MANAGEMENT DATA'!B89,patients!$A:$K,3,FALSE)</f>
        <v>David Davis</v>
      </c>
      <c r="D89" t="str">
        <f>VLOOKUP(B89,patients!$A:$K,4,FALSE)</f>
        <v>F</v>
      </c>
      <c r="E89" s="1">
        <f>VLOOKUP(B89,patients!$A:$K,5,FALSE)</f>
        <v>27946</v>
      </c>
      <c r="F89">
        <f>VLOOKUP(B89,patients!$A:$K,6,FALSE)</f>
        <v>7090558393</v>
      </c>
      <c r="G89" t="str">
        <f>VLOOKUP(B89,patients!$A:$K,7,FALSE)</f>
        <v>456 Oak Ave</v>
      </c>
      <c r="H89" s="1">
        <f>VLOOKUP(B89,patients!$A:$K,8,FALSE)</f>
        <v>44341</v>
      </c>
      <c r="I89" t="str">
        <f>VLOOKUP(B89,patients!$A:$K,11,FALSE)</f>
        <v>david.davis@mail.com</v>
      </c>
      <c r="J89" t="s">
        <v>74</v>
      </c>
      <c r="K89" t="str">
        <f>VLOOKUP(J89,doctors!$A:$H,2,FALSE)&amp;" "&amp;VLOOKUP(J89,doctors!$A:$H,3,FALSE)</f>
        <v>Sarah Taylor</v>
      </c>
      <c r="L89" t="str">
        <f>VLOOKUP(J89,doctors!$A:$H,4,FALSE)</f>
        <v>Dermatology</v>
      </c>
      <c r="M89">
        <f>VLOOKUP(J89,doctors!$A:$H,5,FALSE)</f>
        <v>9118538547</v>
      </c>
      <c r="N89" t="str">
        <f>VLOOKUP(J89,doctors!$A:$H,7,FALSE)</f>
        <v>Central Hospital</v>
      </c>
      <c r="O89" s="1">
        <v>45048</v>
      </c>
      <c r="P89" s="2">
        <v>0.6875</v>
      </c>
      <c r="Q89" t="s">
        <v>29</v>
      </c>
      <c r="R89" t="s">
        <v>41</v>
      </c>
      <c r="S89" t="s">
        <v>525</v>
      </c>
      <c r="T89" t="s">
        <v>444</v>
      </c>
      <c r="U89" s="3">
        <v>1733.72</v>
      </c>
      <c r="V89" s="1">
        <v>45048</v>
      </c>
      <c r="W89" t="s">
        <v>736</v>
      </c>
      <c r="X89" s="1">
        <v>45048</v>
      </c>
      <c r="Y89" s="3">
        <v>1733.72</v>
      </c>
      <c r="Z89" t="s">
        <v>655</v>
      </c>
      <c r="AA89" t="s">
        <v>647</v>
      </c>
    </row>
    <row r="90" spans="1:27" x14ac:dyDescent="0.35">
      <c r="A90" t="s">
        <v>155</v>
      </c>
      <c r="B90" t="s">
        <v>45</v>
      </c>
      <c r="C90" t="str">
        <f>VLOOKUP(B90,patients!$A:$K,2,FALSE)&amp;" "&amp;VLOOKUP('HOSPITAL MANAGEMENT DATA'!B90,patients!$A:$K,3,FALSE)</f>
        <v>David Smith</v>
      </c>
      <c r="D90" t="str">
        <f>VLOOKUP(B90,patients!$A:$K,4,FALSE)</f>
        <v>M</v>
      </c>
      <c r="E90" s="1">
        <f>VLOOKUP(B90,patients!$A:$K,5,FALSE)</f>
        <v>38487</v>
      </c>
      <c r="F90">
        <f>VLOOKUP(B90,patients!$A:$K,6,FALSE)</f>
        <v>8923607677</v>
      </c>
      <c r="G90" t="str">
        <f>VLOOKUP(B90,patients!$A:$K,7,FALSE)</f>
        <v>789 Pine Rd</v>
      </c>
      <c r="H90" s="1">
        <f>VLOOKUP(B90,patients!$A:$K,8,FALSE)</f>
        <v>45035</v>
      </c>
      <c r="I90" t="str">
        <f>VLOOKUP(B90,patients!$A:$K,11,FALSE)</f>
        <v>david.smith@mail.com</v>
      </c>
      <c r="J90" t="s">
        <v>35</v>
      </c>
      <c r="K90" t="str">
        <f>VLOOKUP(J90,doctors!$A:$H,2,FALSE)&amp;" "&amp;VLOOKUP(J90,doctors!$A:$H,3,FALSE)</f>
        <v>Linda Wilson</v>
      </c>
      <c r="L90" t="str">
        <f>VLOOKUP(J90,doctors!$A:$H,4,FALSE)</f>
        <v>Oncology</v>
      </c>
      <c r="M90">
        <f>VLOOKUP(J90,doctors!$A:$H,5,FALSE)</f>
        <v>6176383634</v>
      </c>
      <c r="N90" t="str">
        <f>VLOOKUP(J90,doctors!$A:$H,7,FALSE)</f>
        <v>Eastside Clinic</v>
      </c>
      <c r="O90" s="1">
        <v>44971</v>
      </c>
      <c r="P90" s="2">
        <v>0.45833333333333331</v>
      </c>
      <c r="Q90" t="s">
        <v>18</v>
      </c>
      <c r="R90" t="s">
        <v>41</v>
      </c>
      <c r="S90" t="s">
        <v>526</v>
      </c>
      <c r="T90" t="s">
        <v>431</v>
      </c>
      <c r="U90" s="3">
        <v>857.39</v>
      </c>
      <c r="V90" s="1">
        <v>44971</v>
      </c>
      <c r="W90" t="s">
        <v>737</v>
      </c>
      <c r="X90" s="1">
        <v>44971</v>
      </c>
      <c r="Y90" s="3">
        <v>857.39</v>
      </c>
      <c r="Z90" t="s">
        <v>655</v>
      </c>
      <c r="AA90" t="s">
        <v>645</v>
      </c>
    </row>
    <row r="91" spans="1:27" x14ac:dyDescent="0.35">
      <c r="A91" t="s">
        <v>156</v>
      </c>
      <c r="B91" t="s">
        <v>52</v>
      </c>
      <c r="C91" t="str">
        <f>VLOOKUP(B91,patients!$A:$K,2,FALSE)&amp;" "&amp;VLOOKUP('HOSPITAL MANAGEMENT DATA'!B91,patients!$A:$K,3,FALSE)</f>
        <v>John Taylor</v>
      </c>
      <c r="D91" t="str">
        <f>VLOOKUP(B91,patients!$A:$K,4,FALSE)</f>
        <v>M</v>
      </c>
      <c r="E91" s="1">
        <f>VLOOKUP(B91,patients!$A:$K,5,FALSE)</f>
        <v>37953</v>
      </c>
      <c r="F91">
        <f>VLOOKUP(B91,patients!$A:$K,6,FALSE)</f>
        <v>9900972256</v>
      </c>
      <c r="G91" t="str">
        <f>VLOOKUP(B91,patients!$A:$K,7,FALSE)</f>
        <v>123 Elm St</v>
      </c>
      <c r="H91" s="1">
        <f>VLOOKUP(B91,patients!$A:$K,8,FALSE)</f>
        <v>44329</v>
      </c>
      <c r="I91" t="str">
        <f>VLOOKUP(B91,patients!$A:$K,11,FALSE)</f>
        <v>john.taylor@mail.com</v>
      </c>
      <c r="J91" t="s">
        <v>9</v>
      </c>
      <c r="K91" t="str">
        <f>VLOOKUP(J91,doctors!$A:$H,2,FALSE)&amp;" "&amp;VLOOKUP(J91,doctors!$A:$H,3,FALSE)</f>
        <v>Sarah Smith</v>
      </c>
      <c r="L91" t="str">
        <f>VLOOKUP(J91,doctors!$A:$H,4,FALSE)</f>
        <v>Pediatrics</v>
      </c>
      <c r="M91">
        <f>VLOOKUP(J91,doctors!$A:$H,5,FALSE)</f>
        <v>7387087517</v>
      </c>
      <c r="N91" t="str">
        <f>VLOOKUP(J91,doctors!$A:$H,7,FALSE)</f>
        <v>Central Hospital</v>
      </c>
      <c r="O91" s="1">
        <v>45078</v>
      </c>
      <c r="P91" s="2">
        <v>0.72916666666666663</v>
      </c>
      <c r="Q91" t="s">
        <v>26</v>
      </c>
      <c r="R91" t="s">
        <v>15</v>
      </c>
      <c r="S91" t="s">
        <v>527</v>
      </c>
      <c r="T91" t="s">
        <v>456</v>
      </c>
      <c r="U91" s="3">
        <v>885.46</v>
      </c>
      <c r="V91" s="1">
        <v>45078</v>
      </c>
      <c r="W91" t="s">
        <v>738</v>
      </c>
      <c r="X91" s="1">
        <v>45078</v>
      </c>
      <c r="Y91" s="3">
        <v>885.46</v>
      </c>
      <c r="Z91" t="s">
        <v>644</v>
      </c>
      <c r="AA91" t="s">
        <v>647</v>
      </c>
    </row>
    <row r="92" spans="1:27" x14ac:dyDescent="0.35">
      <c r="A92" t="s">
        <v>157</v>
      </c>
      <c r="B92" t="s">
        <v>92</v>
      </c>
      <c r="C92" t="str">
        <f>VLOOKUP(B92,patients!$A:$K,2,FALSE)&amp;" "&amp;VLOOKUP('HOSPITAL MANAGEMENT DATA'!B92,patients!$A:$K,3,FALSE)</f>
        <v>Michael Taylor</v>
      </c>
      <c r="D92" t="str">
        <f>VLOOKUP(B92,patients!$A:$K,4,FALSE)</f>
        <v>M</v>
      </c>
      <c r="E92" s="1">
        <f>VLOOKUP(B92,patients!$A:$K,5,FALSE)</f>
        <v>37177</v>
      </c>
      <c r="F92">
        <f>VLOOKUP(B92,patients!$A:$K,6,FALSE)</f>
        <v>7081396733</v>
      </c>
      <c r="G92" t="str">
        <f>VLOOKUP(B92,patients!$A:$K,7,FALSE)</f>
        <v>123 Elm St</v>
      </c>
      <c r="H92" s="1">
        <f>VLOOKUP(B92,patients!$A:$K,8,FALSE)</f>
        <v>44797</v>
      </c>
      <c r="I92" t="str">
        <f>VLOOKUP(B92,patients!$A:$K,11,FALSE)</f>
        <v>michael.taylor@mail.com</v>
      </c>
      <c r="J92" t="s">
        <v>22</v>
      </c>
      <c r="K92" t="str">
        <f>VLOOKUP(J92,doctors!$A:$H,2,FALSE)&amp;" "&amp;VLOOKUP(J92,doctors!$A:$H,3,FALSE)</f>
        <v>Alex Davis</v>
      </c>
      <c r="L92" t="str">
        <f>VLOOKUP(J92,doctors!$A:$H,4,FALSE)</f>
        <v>Pediatrics</v>
      </c>
      <c r="M92">
        <f>VLOOKUP(J92,doctors!$A:$H,5,FALSE)</f>
        <v>6570137231</v>
      </c>
      <c r="N92" t="str">
        <f>VLOOKUP(J92,doctors!$A:$H,7,FALSE)</f>
        <v>Central Hospital</v>
      </c>
      <c r="O92" s="1">
        <v>45088</v>
      </c>
      <c r="P92" s="2">
        <v>0.55208333333333337</v>
      </c>
      <c r="Q92" t="s">
        <v>26</v>
      </c>
      <c r="R92" t="s">
        <v>19</v>
      </c>
      <c r="S92" t="s">
        <v>528</v>
      </c>
      <c r="T92" t="s">
        <v>456</v>
      </c>
      <c r="U92" s="3">
        <v>4523.8599999999997</v>
      </c>
      <c r="V92" s="1">
        <v>45088</v>
      </c>
      <c r="W92" t="s">
        <v>739</v>
      </c>
      <c r="X92" s="1">
        <v>45088</v>
      </c>
      <c r="Y92" s="3">
        <v>4523.8599999999997</v>
      </c>
      <c r="Z92" t="s">
        <v>652</v>
      </c>
      <c r="AA92" t="s">
        <v>647</v>
      </c>
    </row>
    <row r="93" spans="1:27" x14ac:dyDescent="0.35">
      <c r="A93" t="s">
        <v>158</v>
      </c>
      <c r="B93" t="s">
        <v>52</v>
      </c>
      <c r="C93" t="str">
        <f>VLOOKUP(B93,patients!$A:$K,2,FALSE)&amp;" "&amp;VLOOKUP('HOSPITAL MANAGEMENT DATA'!B93,patients!$A:$K,3,FALSE)</f>
        <v>John Taylor</v>
      </c>
      <c r="D93" t="str">
        <f>VLOOKUP(B93,patients!$A:$K,4,FALSE)</f>
        <v>M</v>
      </c>
      <c r="E93" s="1">
        <f>VLOOKUP(B93,patients!$A:$K,5,FALSE)</f>
        <v>37953</v>
      </c>
      <c r="F93">
        <f>VLOOKUP(B93,patients!$A:$K,6,FALSE)</f>
        <v>9900972256</v>
      </c>
      <c r="G93" t="str">
        <f>VLOOKUP(B93,patients!$A:$K,7,FALSE)</f>
        <v>123 Elm St</v>
      </c>
      <c r="H93" s="1">
        <f>VLOOKUP(B93,patients!$A:$K,8,FALSE)</f>
        <v>44329</v>
      </c>
      <c r="I93" t="str">
        <f>VLOOKUP(B93,patients!$A:$K,11,FALSE)</f>
        <v>john.taylor@mail.com</v>
      </c>
      <c r="J93" t="s">
        <v>59</v>
      </c>
      <c r="K93" t="str">
        <f>VLOOKUP(J93,doctors!$A:$H,2,FALSE)&amp;" "&amp;VLOOKUP(J93,doctors!$A:$H,3,FALSE)</f>
        <v>David Taylor</v>
      </c>
      <c r="L93" t="str">
        <f>VLOOKUP(J93,doctors!$A:$H,4,FALSE)</f>
        <v>Dermatology</v>
      </c>
      <c r="M93">
        <f>VLOOKUP(J93,doctors!$A:$H,5,FALSE)</f>
        <v>8322010158</v>
      </c>
      <c r="N93" t="str">
        <f>VLOOKUP(J93,doctors!$A:$H,7,FALSE)</f>
        <v>Westside Clinic</v>
      </c>
      <c r="O93" s="1">
        <v>44956</v>
      </c>
      <c r="P93" s="2">
        <v>0.59375</v>
      </c>
      <c r="Q93" t="s">
        <v>10</v>
      </c>
      <c r="R93" t="s">
        <v>11</v>
      </c>
      <c r="S93" t="s">
        <v>529</v>
      </c>
      <c r="T93" t="s">
        <v>456</v>
      </c>
      <c r="U93" s="3">
        <v>1363.4</v>
      </c>
      <c r="V93" s="1">
        <v>44956</v>
      </c>
      <c r="W93" t="s">
        <v>740</v>
      </c>
      <c r="X93" s="1">
        <v>44956</v>
      </c>
      <c r="Y93" s="3">
        <v>1363.4</v>
      </c>
      <c r="Z93" t="s">
        <v>652</v>
      </c>
      <c r="AA93" t="s">
        <v>650</v>
      </c>
    </row>
    <row r="94" spans="1:27" x14ac:dyDescent="0.35">
      <c r="A94" t="s">
        <v>159</v>
      </c>
      <c r="B94" t="s">
        <v>8</v>
      </c>
      <c r="C94" t="str">
        <f>VLOOKUP(B94,patients!$A:$K,2,FALSE)&amp;" "&amp;VLOOKUP('HOSPITAL MANAGEMENT DATA'!B94,patients!$A:$K,3,FALSE)</f>
        <v>Alex Smith</v>
      </c>
      <c r="D94" t="str">
        <f>VLOOKUP(B94,patients!$A:$K,4,FALSE)</f>
        <v>F</v>
      </c>
      <c r="E94" s="1">
        <f>VLOOKUP(B94,patients!$A:$K,5,FALSE)</f>
        <v>18289</v>
      </c>
      <c r="F94">
        <f>VLOOKUP(B94,patients!$A:$K,6,FALSE)</f>
        <v>8374657733</v>
      </c>
      <c r="G94" t="str">
        <f>VLOOKUP(B94,patients!$A:$K,7,FALSE)</f>
        <v>321 Maple Dr</v>
      </c>
      <c r="H94" s="1">
        <f>VLOOKUP(B94,patients!$A:$K,8,FALSE)</f>
        <v>45095</v>
      </c>
      <c r="I94" t="str">
        <f>VLOOKUP(B94,patients!$A:$K,11,FALSE)</f>
        <v>alex.smith@mail.com</v>
      </c>
      <c r="J94" t="s">
        <v>59</v>
      </c>
      <c r="K94" t="str">
        <f>VLOOKUP(J94,doctors!$A:$H,2,FALSE)&amp;" "&amp;VLOOKUP(J94,doctors!$A:$H,3,FALSE)</f>
        <v>David Taylor</v>
      </c>
      <c r="L94" t="str">
        <f>VLOOKUP(J94,doctors!$A:$H,4,FALSE)</f>
        <v>Dermatology</v>
      </c>
      <c r="M94">
        <f>VLOOKUP(J94,doctors!$A:$H,5,FALSE)</f>
        <v>8322010158</v>
      </c>
      <c r="N94" t="str">
        <f>VLOOKUP(J94,doctors!$A:$H,7,FALSE)</f>
        <v>Westside Clinic</v>
      </c>
      <c r="O94" s="1">
        <v>45025</v>
      </c>
      <c r="P94" s="2">
        <v>0.39583333333333331</v>
      </c>
      <c r="Q94" t="s">
        <v>38</v>
      </c>
      <c r="R94" t="s">
        <v>41</v>
      </c>
      <c r="S94" t="s">
        <v>530</v>
      </c>
      <c r="T94" t="s">
        <v>456</v>
      </c>
      <c r="U94" s="3">
        <v>1955.17</v>
      </c>
      <c r="V94" s="1">
        <v>45025</v>
      </c>
      <c r="W94" t="s">
        <v>741</v>
      </c>
      <c r="X94" s="1">
        <v>45025</v>
      </c>
      <c r="Y94" s="3">
        <v>1955.17</v>
      </c>
      <c r="Z94" t="s">
        <v>652</v>
      </c>
      <c r="AA94" t="s">
        <v>650</v>
      </c>
    </row>
    <row r="95" spans="1:27" x14ac:dyDescent="0.35">
      <c r="A95" t="s">
        <v>160</v>
      </c>
      <c r="B95" t="s">
        <v>161</v>
      </c>
      <c r="C95" t="str">
        <f>VLOOKUP(B95,patients!$A:$K,2,FALSE)&amp;" "&amp;VLOOKUP('HOSPITAL MANAGEMENT DATA'!B95,patients!$A:$K,3,FALSE)</f>
        <v>Robert Williams</v>
      </c>
      <c r="D95" t="str">
        <f>VLOOKUP(B95,patients!$A:$K,4,FALSE)</f>
        <v>M</v>
      </c>
      <c r="E95" s="1">
        <f>VLOOKUP(B95,patients!$A:$K,5,FALSE)</f>
        <v>18798</v>
      </c>
      <c r="F95">
        <f>VLOOKUP(B95,patients!$A:$K,6,FALSE)</f>
        <v>7020645498</v>
      </c>
      <c r="G95" t="str">
        <f>VLOOKUP(B95,patients!$A:$K,7,FALSE)</f>
        <v>456 Oak Ave</v>
      </c>
      <c r="H95" s="1">
        <f>VLOOKUP(B95,patients!$A:$K,8,FALSE)</f>
        <v>44758</v>
      </c>
      <c r="I95" t="str">
        <f>VLOOKUP(B95,patients!$A:$K,11,FALSE)</f>
        <v>robert.williams@mail.com</v>
      </c>
      <c r="J95" t="s">
        <v>48</v>
      </c>
      <c r="K95" t="str">
        <f>VLOOKUP(J95,doctors!$A:$H,2,FALSE)&amp;" "&amp;VLOOKUP(J95,doctors!$A:$H,3,FALSE)</f>
        <v>Jane Davis</v>
      </c>
      <c r="L95" t="str">
        <f>VLOOKUP(J95,doctors!$A:$H,4,FALSE)</f>
        <v>Pediatrics</v>
      </c>
      <c r="M95">
        <f>VLOOKUP(J95,doctors!$A:$H,5,FALSE)</f>
        <v>9004382050</v>
      </c>
      <c r="N95" t="str">
        <f>VLOOKUP(J95,doctors!$A:$H,7,FALSE)</f>
        <v>Eastside Clinic</v>
      </c>
      <c r="O95" s="1">
        <v>45024</v>
      </c>
      <c r="P95" s="2">
        <v>0.36458333333333331</v>
      </c>
      <c r="Q95" t="s">
        <v>18</v>
      </c>
      <c r="R95" t="s">
        <v>19</v>
      </c>
      <c r="S95" t="s">
        <v>531</v>
      </c>
      <c r="T95" t="s">
        <v>456</v>
      </c>
      <c r="U95" s="3">
        <v>1519.95</v>
      </c>
      <c r="V95" s="1">
        <v>45024</v>
      </c>
      <c r="W95" t="s">
        <v>742</v>
      </c>
      <c r="X95" s="1">
        <v>45024</v>
      </c>
      <c r="Y95" s="3">
        <v>1519.95</v>
      </c>
      <c r="Z95" t="s">
        <v>655</v>
      </c>
      <c r="AA95" t="s">
        <v>650</v>
      </c>
    </row>
    <row r="96" spans="1:27" x14ac:dyDescent="0.35">
      <c r="A96" t="s">
        <v>162</v>
      </c>
      <c r="B96" t="s">
        <v>163</v>
      </c>
      <c r="C96" t="str">
        <f>VLOOKUP(B96,patients!$A:$K,2,FALSE)&amp;" "&amp;VLOOKUP('HOSPITAL MANAGEMENT DATA'!B96,patients!$A:$K,3,FALSE)</f>
        <v>Alex Johnson</v>
      </c>
      <c r="D96" t="str">
        <f>VLOOKUP(B96,patients!$A:$K,4,FALSE)</f>
        <v>F</v>
      </c>
      <c r="E96" s="1">
        <f>VLOOKUP(B96,patients!$A:$K,5,FALSE)</f>
        <v>32667</v>
      </c>
      <c r="F96">
        <f>VLOOKUP(B96,patients!$A:$K,6,FALSE)</f>
        <v>6278710077</v>
      </c>
      <c r="G96" t="str">
        <f>VLOOKUP(B96,patients!$A:$K,7,FALSE)</f>
        <v>789 Pine Rd</v>
      </c>
      <c r="H96" s="1">
        <f>VLOOKUP(B96,patients!$A:$K,8,FALSE)</f>
        <v>44555</v>
      </c>
      <c r="I96" t="str">
        <f>VLOOKUP(B96,patients!$A:$K,11,FALSE)</f>
        <v>alex.johnson@mail.com</v>
      </c>
      <c r="J96" t="s">
        <v>9</v>
      </c>
      <c r="K96" t="str">
        <f>VLOOKUP(J96,doctors!$A:$H,2,FALSE)&amp;" "&amp;VLOOKUP(J96,doctors!$A:$H,3,FALSE)</f>
        <v>Sarah Smith</v>
      </c>
      <c r="L96" t="str">
        <f>VLOOKUP(J96,doctors!$A:$H,4,FALSE)</f>
        <v>Pediatrics</v>
      </c>
      <c r="M96">
        <f>VLOOKUP(J96,doctors!$A:$H,5,FALSE)</f>
        <v>7387087517</v>
      </c>
      <c r="N96" t="str">
        <f>VLOOKUP(J96,doctors!$A:$H,7,FALSE)</f>
        <v>Central Hospital</v>
      </c>
      <c r="O96" s="1">
        <v>45055</v>
      </c>
      <c r="P96" s="2">
        <v>0.42708333333333331</v>
      </c>
      <c r="Q96" t="s">
        <v>10</v>
      </c>
      <c r="R96" t="s">
        <v>19</v>
      </c>
      <c r="S96" t="s">
        <v>532</v>
      </c>
      <c r="T96" t="s">
        <v>456</v>
      </c>
      <c r="U96" s="3">
        <v>2097.48</v>
      </c>
      <c r="V96" s="1">
        <v>45055</v>
      </c>
      <c r="W96" t="s">
        <v>743</v>
      </c>
      <c r="X96" s="1">
        <v>45055</v>
      </c>
      <c r="Y96" s="3">
        <v>2097.48</v>
      </c>
      <c r="Z96" t="s">
        <v>655</v>
      </c>
      <c r="AA96" t="s">
        <v>650</v>
      </c>
    </row>
    <row r="97" spans="1:27" x14ac:dyDescent="0.35">
      <c r="A97" t="s">
        <v>164</v>
      </c>
      <c r="B97" t="s">
        <v>106</v>
      </c>
      <c r="C97" t="str">
        <f>VLOOKUP(B97,patients!$A:$K,2,FALSE)&amp;" "&amp;VLOOKUP('HOSPITAL MANAGEMENT DATA'!B97,patients!$A:$K,3,FALSE)</f>
        <v>Michael Johnson</v>
      </c>
      <c r="D97" t="str">
        <f>VLOOKUP(B97,patients!$A:$K,4,FALSE)</f>
        <v>F</v>
      </c>
      <c r="E97" s="1">
        <f>VLOOKUP(B97,patients!$A:$K,5,FALSE)</f>
        <v>29637</v>
      </c>
      <c r="F97">
        <f>VLOOKUP(B97,patients!$A:$K,6,FALSE)</f>
        <v>9019443432</v>
      </c>
      <c r="G97" t="str">
        <f>VLOOKUP(B97,patients!$A:$K,7,FALSE)</f>
        <v>123 Elm St</v>
      </c>
      <c r="H97" s="1">
        <f>VLOOKUP(B97,patients!$A:$K,8,FALSE)</f>
        <v>44257</v>
      </c>
      <c r="I97" t="str">
        <f>VLOOKUP(B97,patients!$A:$K,11,FALSE)</f>
        <v>michael.johnson@mail.com</v>
      </c>
      <c r="J97" t="s">
        <v>25</v>
      </c>
      <c r="K97" t="str">
        <f>VLOOKUP(J97,doctors!$A:$H,2,FALSE)&amp;" "&amp;VLOOKUP(J97,doctors!$A:$H,3,FALSE)</f>
        <v>Jane Smith</v>
      </c>
      <c r="L97" t="str">
        <f>VLOOKUP(J97,doctors!$A:$H,4,FALSE)</f>
        <v>Pediatrics</v>
      </c>
      <c r="M97">
        <f>VLOOKUP(J97,doctors!$A:$H,5,FALSE)</f>
        <v>8737740598</v>
      </c>
      <c r="N97" t="str">
        <f>VLOOKUP(J97,doctors!$A:$H,7,FALSE)</f>
        <v>Eastside Clinic</v>
      </c>
      <c r="O97" s="1">
        <v>45114</v>
      </c>
      <c r="P97" s="2">
        <v>0.625</v>
      </c>
      <c r="Q97" t="s">
        <v>18</v>
      </c>
      <c r="R97" t="s">
        <v>41</v>
      </c>
      <c r="S97" t="s">
        <v>533</v>
      </c>
      <c r="T97" t="s">
        <v>456</v>
      </c>
      <c r="U97" s="3">
        <v>812.41</v>
      </c>
      <c r="V97" s="1">
        <v>45114</v>
      </c>
      <c r="W97" t="s">
        <v>744</v>
      </c>
      <c r="X97" s="1">
        <v>45114</v>
      </c>
      <c r="Y97" s="3">
        <v>812.41</v>
      </c>
      <c r="Z97" t="s">
        <v>652</v>
      </c>
      <c r="AA97" t="s">
        <v>645</v>
      </c>
    </row>
    <row r="98" spans="1:27" x14ac:dyDescent="0.35">
      <c r="A98" t="s">
        <v>165</v>
      </c>
      <c r="B98" t="s">
        <v>123</v>
      </c>
      <c r="C98" t="str">
        <f>VLOOKUP(B98,patients!$A:$K,2,FALSE)&amp;" "&amp;VLOOKUP('HOSPITAL MANAGEMENT DATA'!B98,patients!$A:$K,3,FALSE)</f>
        <v>Laura Wilson</v>
      </c>
      <c r="D98" t="str">
        <f>VLOOKUP(B98,patients!$A:$K,4,FALSE)</f>
        <v>M</v>
      </c>
      <c r="E98" s="1">
        <f>VLOOKUP(B98,patients!$A:$K,5,FALSE)</f>
        <v>34330</v>
      </c>
      <c r="F98">
        <f>VLOOKUP(B98,patients!$A:$K,6,FALSE)</f>
        <v>8301134730</v>
      </c>
      <c r="G98" t="str">
        <f>VLOOKUP(B98,patients!$A:$K,7,FALSE)</f>
        <v>321 Maple Dr</v>
      </c>
      <c r="H98" s="1">
        <f>VLOOKUP(B98,patients!$A:$K,8,FALSE)</f>
        <v>45044</v>
      </c>
      <c r="I98" t="str">
        <f>VLOOKUP(B98,patients!$A:$K,11,FALSE)</f>
        <v>laura.wilson@mail.com</v>
      </c>
      <c r="J98" t="s">
        <v>59</v>
      </c>
      <c r="K98" t="str">
        <f>VLOOKUP(J98,doctors!$A:$H,2,FALSE)&amp;" "&amp;VLOOKUP(J98,doctors!$A:$H,3,FALSE)</f>
        <v>David Taylor</v>
      </c>
      <c r="L98" t="str">
        <f>VLOOKUP(J98,doctors!$A:$H,4,FALSE)</f>
        <v>Dermatology</v>
      </c>
      <c r="M98">
        <f>VLOOKUP(J98,doctors!$A:$H,5,FALSE)</f>
        <v>8322010158</v>
      </c>
      <c r="N98" t="str">
        <f>VLOOKUP(J98,doctors!$A:$H,7,FALSE)</f>
        <v>Westside Clinic</v>
      </c>
      <c r="O98" s="1">
        <v>45052</v>
      </c>
      <c r="P98" s="2">
        <v>0.61458333333333337</v>
      </c>
      <c r="Q98" t="s">
        <v>38</v>
      </c>
      <c r="R98" t="s">
        <v>15</v>
      </c>
      <c r="S98" t="s">
        <v>534</v>
      </c>
      <c r="T98" t="s">
        <v>431</v>
      </c>
      <c r="U98" s="3">
        <v>2835.77</v>
      </c>
      <c r="V98" s="1">
        <v>45052</v>
      </c>
      <c r="W98" t="s">
        <v>745</v>
      </c>
      <c r="X98" s="1">
        <v>45052</v>
      </c>
      <c r="Y98" s="3">
        <v>2835.77</v>
      </c>
      <c r="Z98" t="s">
        <v>655</v>
      </c>
      <c r="AA98" t="s">
        <v>650</v>
      </c>
    </row>
    <row r="99" spans="1:27" x14ac:dyDescent="0.35">
      <c r="A99" t="s">
        <v>166</v>
      </c>
      <c r="B99" t="s">
        <v>28</v>
      </c>
      <c r="C99" t="str">
        <f>VLOOKUP(B99,patients!$A:$K,2,FALSE)&amp;" "&amp;VLOOKUP('HOSPITAL MANAGEMENT DATA'!B99,patients!$A:$K,3,FALSE)</f>
        <v>Linda Miller</v>
      </c>
      <c r="D99" t="str">
        <f>VLOOKUP(B99,patients!$A:$K,4,FALSE)</f>
        <v>F</v>
      </c>
      <c r="E99" s="1">
        <f>VLOOKUP(B99,patients!$A:$K,5,FALSE)</f>
        <v>24222</v>
      </c>
      <c r="F99">
        <f>VLOOKUP(B99,patients!$A:$K,6,FALSE)</f>
        <v>7579616535</v>
      </c>
      <c r="G99" t="str">
        <f>VLOOKUP(B99,patients!$A:$K,7,FALSE)</f>
        <v>321 Maple Dr</v>
      </c>
      <c r="H99" s="1">
        <f>VLOOKUP(B99,patients!$A:$K,8,FALSE)</f>
        <v>44219</v>
      </c>
      <c r="I99" t="str">
        <f>VLOOKUP(B99,patients!$A:$K,11,FALSE)</f>
        <v>linda.miller@mail.com</v>
      </c>
      <c r="J99" t="s">
        <v>74</v>
      </c>
      <c r="K99" t="str">
        <f>VLOOKUP(J99,doctors!$A:$H,2,FALSE)&amp;" "&amp;VLOOKUP(J99,doctors!$A:$H,3,FALSE)</f>
        <v>Sarah Taylor</v>
      </c>
      <c r="L99" t="str">
        <f>VLOOKUP(J99,doctors!$A:$H,4,FALSE)</f>
        <v>Dermatology</v>
      </c>
      <c r="M99">
        <f>VLOOKUP(J99,doctors!$A:$H,5,FALSE)</f>
        <v>9118538547</v>
      </c>
      <c r="N99" t="str">
        <f>VLOOKUP(J99,doctors!$A:$H,7,FALSE)</f>
        <v>Central Hospital</v>
      </c>
      <c r="O99" s="1">
        <v>45002</v>
      </c>
      <c r="P99" s="2">
        <v>0.54166666666666663</v>
      </c>
      <c r="Q99" t="s">
        <v>26</v>
      </c>
      <c r="R99" t="s">
        <v>41</v>
      </c>
      <c r="S99" t="s">
        <v>535</v>
      </c>
      <c r="T99" t="s">
        <v>440</v>
      </c>
      <c r="U99" s="3">
        <v>804.26</v>
      </c>
      <c r="V99" s="1">
        <v>45002</v>
      </c>
      <c r="W99" t="s">
        <v>746</v>
      </c>
      <c r="X99" s="1">
        <v>45002</v>
      </c>
      <c r="Y99" s="3">
        <v>804.26</v>
      </c>
      <c r="Z99" t="s">
        <v>652</v>
      </c>
      <c r="AA99" t="s">
        <v>647</v>
      </c>
    </row>
    <row r="100" spans="1:27" x14ac:dyDescent="0.35">
      <c r="A100" t="s">
        <v>167</v>
      </c>
      <c r="B100" t="s">
        <v>168</v>
      </c>
      <c r="C100" t="str">
        <f>VLOOKUP(B100,patients!$A:$K,2,FALSE)&amp;" "&amp;VLOOKUP('HOSPITAL MANAGEMENT DATA'!B100,patients!$A:$K,3,FALSE)</f>
        <v>Emily Jones</v>
      </c>
      <c r="D100" t="str">
        <f>VLOOKUP(B100,patients!$A:$K,4,FALSE)</f>
        <v>F</v>
      </c>
      <c r="E100" s="1">
        <f>VLOOKUP(B100,patients!$A:$K,5,FALSE)</f>
        <v>24445</v>
      </c>
      <c r="F100">
        <f>VLOOKUP(B100,patients!$A:$K,6,FALSE)</f>
        <v>8990604070</v>
      </c>
      <c r="G100" t="str">
        <f>VLOOKUP(B100,patients!$A:$K,7,FALSE)</f>
        <v>789 Pine Rd</v>
      </c>
      <c r="H100" s="1">
        <f>VLOOKUP(B100,patients!$A:$K,8,FALSE)</f>
        <v>44831</v>
      </c>
      <c r="I100" t="str">
        <f>VLOOKUP(B100,patients!$A:$K,11,FALSE)</f>
        <v>emily.jones@mail.com</v>
      </c>
      <c r="J100" t="s">
        <v>32</v>
      </c>
      <c r="K100" t="str">
        <f>VLOOKUP(J100,doctors!$A:$H,2,FALSE)&amp;" "&amp;VLOOKUP(J100,doctors!$A:$H,3,FALSE)</f>
        <v>Robert Davis</v>
      </c>
      <c r="L100" t="str">
        <f>VLOOKUP(J100,doctors!$A:$H,4,FALSE)</f>
        <v>Oncology</v>
      </c>
      <c r="M100">
        <f>VLOOKUP(J100,doctors!$A:$H,5,FALSE)</f>
        <v>8217493115</v>
      </c>
      <c r="N100" t="str">
        <f>VLOOKUP(J100,doctors!$A:$H,7,FALSE)</f>
        <v>Westside Clinic</v>
      </c>
      <c r="O100" s="1">
        <v>45111</v>
      </c>
      <c r="P100" s="2">
        <v>0.625</v>
      </c>
      <c r="Q100" t="s">
        <v>29</v>
      </c>
      <c r="R100" t="s">
        <v>41</v>
      </c>
      <c r="S100" t="s">
        <v>536</v>
      </c>
      <c r="T100" t="s">
        <v>434</v>
      </c>
      <c r="U100" s="3">
        <v>4101.6000000000004</v>
      </c>
      <c r="V100" s="1">
        <v>45111</v>
      </c>
      <c r="W100" t="s">
        <v>747</v>
      </c>
      <c r="X100" s="1">
        <v>45111</v>
      </c>
      <c r="Y100" s="3">
        <v>4101.6000000000004</v>
      </c>
      <c r="Z100" t="s">
        <v>652</v>
      </c>
      <c r="AA100" t="s">
        <v>645</v>
      </c>
    </row>
    <row r="101" spans="1:27" x14ac:dyDescent="0.35">
      <c r="A101" t="s">
        <v>169</v>
      </c>
      <c r="B101" t="s">
        <v>45</v>
      </c>
      <c r="C101" t="str">
        <f>VLOOKUP(B101,patients!$A:$K,2,FALSE)&amp;" "&amp;VLOOKUP('HOSPITAL MANAGEMENT DATA'!B101,patients!$A:$K,3,FALSE)</f>
        <v>David Smith</v>
      </c>
      <c r="D101" t="str">
        <f>VLOOKUP(B101,patients!$A:$K,4,FALSE)</f>
        <v>M</v>
      </c>
      <c r="E101" s="1">
        <f>VLOOKUP(B101,patients!$A:$K,5,FALSE)</f>
        <v>38487</v>
      </c>
      <c r="F101">
        <f>VLOOKUP(B101,patients!$A:$K,6,FALSE)</f>
        <v>8923607677</v>
      </c>
      <c r="G101" t="str">
        <f>VLOOKUP(B101,patients!$A:$K,7,FALSE)</f>
        <v>789 Pine Rd</v>
      </c>
      <c r="H101" s="1">
        <f>VLOOKUP(B101,patients!$A:$K,8,FALSE)</f>
        <v>45035</v>
      </c>
      <c r="I101" t="str">
        <f>VLOOKUP(B101,patients!$A:$K,11,FALSE)</f>
        <v>david.smith@mail.com</v>
      </c>
      <c r="J101" t="s">
        <v>22</v>
      </c>
      <c r="K101" t="str">
        <f>VLOOKUP(J101,doctors!$A:$H,2,FALSE)&amp;" "&amp;VLOOKUP(J101,doctors!$A:$H,3,FALSE)</f>
        <v>Alex Davis</v>
      </c>
      <c r="L101" t="str">
        <f>VLOOKUP(J101,doctors!$A:$H,4,FALSE)</f>
        <v>Pediatrics</v>
      </c>
      <c r="M101">
        <f>VLOOKUP(J101,doctors!$A:$H,5,FALSE)</f>
        <v>6570137231</v>
      </c>
      <c r="N101" t="str">
        <f>VLOOKUP(J101,doctors!$A:$H,7,FALSE)</f>
        <v>Central Hospital</v>
      </c>
      <c r="O101" s="1">
        <v>44987</v>
      </c>
      <c r="P101" s="2">
        <v>0.33333333333333331</v>
      </c>
      <c r="Q101" t="s">
        <v>26</v>
      </c>
      <c r="R101" t="s">
        <v>11</v>
      </c>
      <c r="S101" t="s">
        <v>537</v>
      </c>
      <c r="T101" t="s">
        <v>444</v>
      </c>
      <c r="U101" s="3">
        <v>1551.7</v>
      </c>
      <c r="V101" s="1">
        <v>44987</v>
      </c>
      <c r="W101" t="s">
        <v>748</v>
      </c>
      <c r="X101" s="1">
        <v>44987</v>
      </c>
      <c r="Y101" s="3">
        <v>1551.7</v>
      </c>
      <c r="Z101" t="s">
        <v>652</v>
      </c>
      <c r="AA101" t="s">
        <v>650</v>
      </c>
    </row>
    <row r="102" spans="1:27" x14ac:dyDescent="0.35">
      <c r="A102" t="s">
        <v>170</v>
      </c>
      <c r="B102" t="s">
        <v>84</v>
      </c>
      <c r="C102" t="str">
        <f>VLOOKUP(B102,patients!$A:$K,2,FALSE)&amp;" "&amp;VLOOKUP('HOSPITAL MANAGEMENT DATA'!B102,patients!$A:$K,3,FALSE)</f>
        <v>Michael Wilson</v>
      </c>
      <c r="D102" t="str">
        <f>VLOOKUP(B102,patients!$A:$K,4,FALSE)</f>
        <v>M</v>
      </c>
      <c r="E102" s="1">
        <f>VLOOKUP(B102,patients!$A:$K,5,FALSE)</f>
        <v>35790</v>
      </c>
      <c r="F102">
        <f>VLOOKUP(B102,patients!$A:$K,6,FALSE)</f>
        <v>8545613046</v>
      </c>
      <c r="G102" t="str">
        <f>VLOOKUP(B102,patients!$A:$K,7,FALSE)</f>
        <v>123 Elm St</v>
      </c>
      <c r="H102" s="1">
        <f>VLOOKUP(B102,patients!$A:$K,8,FALSE)</f>
        <v>44838</v>
      </c>
      <c r="I102" t="str">
        <f>VLOOKUP(B102,patients!$A:$K,11,FALSE)</f>
        <v>michael.wilson@mail.com</v>
      </c>
      <c r="J102" t="s">
        <v>59</v>
      </c>
      <c r="K102" t="str">
        <f>VLOOKUP(J102,doctors!$A:$H,2,FALSE)&amp;" "&amp;VLOOKUP(J102,doctors!$A:$H,3,FALSE)</f>
        <v>David Taylor</v>
      </c>
      <c r="L102" t="str">
        <f>VLOOKUP(J102,doctors!$A:$H,4,FALSE)</f>
        <v>Dermatology</v>
      </c>
      <c r="M102">
        <f>VLOOKUP(J102,doctors!$A:$H,5,FALSE)</f>
        <v>8322010158</v>
      </c>
      <c r="N102" t="str">
        <f>VLOOKUP(J102,doctors!$A:$H,7,FALSE)</f>
        <v>Westside Clinic</v>
      </c>
      <c r="O102" s="1">
        <v>45190</v>
      </c>
      <c r="P102" s="2">
        <v>0.55208333333333337</v>
      </c>
      <c r="Q102" t="s">
        <v>10</v>
      </c>
      <c r="R102" t="s">
        <v>11</v>
      </c>
      <c r="S102" t="s">
        <v>538</v>
      </c>
      <c r="T102" t="s">
        <v>434</v>
      </c>
      <c r="U102" s="3">
        <v>2930.05</v>
      </c>
      <c r="V102" s="1">
        <v>45190</v>
      </c>
      <c r="W102" t="s">
        <v>749</v>
      </c>
      <c r="X102" s="1">
        <v>45190</v>
      </c>
      <c r="Y102" s="3">
        <v>2930.05</v>
      </c>
      <c r="Z102" t="s">
        <v>652</v>
      </c>
      <c r="AA102" t="s">
        <v>647</v>
      </c>
    </row>
    <row r="103" spans="1:27" x14ac:dyDescent="0.35">
      <c r="A103" t="s">
        <v>171</v>
      </c>
      <c r="B103" t="s">
        <v>21</v>
      </c>
      <c r="C103" t="str">
        <f>VLOOKUP(B103,patients!$A:$K,2,FALSE)&amp;" "&amp;VLOOKUP('HOSPITAL MANAGEMENT DATA'!B103,patients!$A:$K,3,FALSE)</f>
        <v>Robert Wilson</v>
      </c>
      <c r="D103" t="str">
        <f>VLOOKUP(B103,patients!$A:$K,4,FALSE)</f>
        <v>M</v>
      </c>
      <c r="E103" s="1">
        <f>VLOOKUP(B103,patients!$A:$K,5,FALSE)</f>
        <v>24333</v>
      </c>
      <c r="F103">
        <f>VLOOKUP(B103,patients!$A:$K,6,FALSE)</f>
        <v>7482069727</v>
      </c>
      <c r="G103" t="str">
        <f>VLOOKUP(B103,patients!$A:$K,7,FALSE)</f>
        <v>123 Elm St</v>
      </c>
      <c r="H103" s="1">
        <f>VLOOKUP(B103,patients!$A:$K,8,FALSE)</f>
        <v>44448</v>
      </c>
      <c r="I103" t="str">
        <f>VLOOKUP(B103,patients!$A:$K,11,FALSE)</f>
        <v>robert.wilson@mail.com</v>
      </c>
      <c r="J103" t="s">
        <v>74</v>
      </c>
      <c r="K103" t="str">
        <f>VLOOKUP(J103,doctors!$A:$H,2,FALSE)&amp;" "&amp;VLOOKUP(J103,doctors!$A:$H,3,FALSE)</f>
        <v>Sarah Taylor</v>
      </c>
      <c r="L103" t="str">
        <f>VLOOKUP(J103,doctors!$A:$H,4,FALSE)</f>
        <v>Dermatology</v>
      </c>
      <c r="M103">
        <f>VLOOKUP(J103,doctors!$A:$H,5,FALSE)</f>
        <v>9118538547</v>
      </c>
      <c r="N103" t="str">
        <f>VLOOKUP(J103,doctors!$A:$H,7,FALSE)</f>
        <v>Central Hospital</v>
      </c>
      <c r="O103" s="1">
        <v>45224</v>
      </c>
      <c r="P103" s="2">
        <v>0.375</v>
      </c>
      <c r="Q103" t="s">
        <v>29</v>
      </c>
      <c r="R103" t="s">
        <v>15</v>
      </c>
      <c r="S103" t="s">
        <v>539</v>
      </c>
      <c r="T103" t="s">
        <v>434</v>
      </c>
      <c r="U103" s="3">
        <v>4460.3599999999997</v>
      </c>
      <c r="V103" s="1">
        <v>45224</v>
      </c>
      <c r="W103" t="s">
        <v>750</v>
      </c>
      <c r="X103" s="1">
        <v>45224</v>
      </c>
      <c r="Y103" s="3">
        <v>4460.3599999999997</v>
      </c>
      <c r="Z103" t="s">
        <v>652</v>
      </c>
      <c r="AA103" t="s">
        <v>645</v>
      </c>
    </row>
    <row r="104" spans="1:27" x14ac:dyDescent="0.35">
      <c r="A104" t="s">
        <v>172</v>
      </c>
      <c r="B104" t="s">
        <v>81</v>
      </c>
      <c r="C104" t="str">
        <f>VLOOKUP(B104,patients!$A:$K,2,FALSE)&amp;" "&amp;VLOOKUP('HOSPITAL MANAGEMENT DATA'!B104,patients!$A:$K,3,FALSE)</f>
        <v>Michael Wilson</v>
      </c>
      <c r="D104" t="str">
        <f>VLOOKUP(B104,patients!$A:$K,4,FALSE)</f>
        <v>M</v>
      </c>
      <c r="E104" s="1">
        <f>VLOOKUP(B104,patients!$A:$K,5,FALSE)</f>
        <v>37316</v>
      </c>
      <c r="F104">
        <f>VLOOKUP(B104,patients!$A:$K,6,FALSE)</f>
        <v>7765390555</v>
      </c>
      <c r="G104" t="str">
        <f>VLOOKUP(B104,patients!$A:$K,7,FALSE)</f>
        <v>321 Maple Dr</v>
      </c>
      <c r="H104" s="1">
        <f>VLOOKUP(B104,patients!$A:$K,8,FALSE)</f>
        <v>44580</v>
      </c>
      <c r="I104" t="str">
        <f>VLOOKUP(B104,patients!$A:$K,11,FALSE)</f>
        <v>michael.wilson@mail.com</v>
      </c>
      <c r="J104" t="s">
        <v>74</v>
      </c>
      <c r="K104" t="str">
        <f>VLOOKUP(J104,doctors!$A:$H,2,FALSE)&amp;" "&amp;VLOOKUP(J104,doctors!$A:$H,3,FALSE)</f>
        <v>Sarah Taylor</v>
      </c>
      <c r="L104" t="str">
        <f>VLOOKUP(J104,doctors!$A:$H,4,FALSE)</f>
        <v>Dermatology</v>
      </c>
      <c r="M104">
        <f>VLOOKUP(J104,doctors!$A:$H,5,FALSE)</f>
        <v>9118538547</v>
      </c>
      <c r="N104" t="str">
        <f>VLOOKUP(J104,doctors!$A:$H,7,FALSE)</f>
        <v>Central Hospital</v>
      </c>
      <c r="O104" s="1">
        <v>44950</v>
      </c>
      <c r="P104" s="2">
        <v>0.35416666666666669</v>
      </c>
      <c r="Q104" t="s">
        <v>10</v>
      </c>
      <c r="R104" t="s">
        <v>19</v>
      </c>
      <c r="S104" t="s">
        <v>540</v>
      </c>
      <c r="T104" t="s">
        <v>440</v>
      </c>
      <c r="U104" s="3">
        <v>3428.95</v>
      </c>
      <c r="V104" s="1">
        <v>44950</v>
      </c>
      <c r="W104" t="s">
        <v>751</v>
      </c>
      <c r="X104" s="1">
        <v>44950</v>
      </c>
      <c r="Y104" s="3">
        <v>3428.95</v>
      </c>
      <c r="Z104" t="s">
        <v>652</v>
      </c>
      <c r="AA104" t="s">
        <v>645</v>
      </c>
    </row>
    <row r="105" spans="1:27" x14ac:dyDescent="0.35">
      <c r="A105" t="s">
        <v>173</v>
      </c>
      <c r="B105" t="s">
        <v>84</v>
      </c>
      <c r="C105" t="str">
        <f>VLOOKUP(B105,patients!$A:$K,2,FALSE)&amp;" "&amp;VLOOKUP('HOSPITAL MANAGEMENT DATA'!B105,patients!$A:$K,3,FALSE)</f>
        <v>Michael Wilson</v>
      </c>
      <c r="D105" t="str">
        <f>VLOOKUP(B105,patients!$A:$K,4,FALSE)</f>
        <v>M</v>
      </c>
      <c r="E105" s="1">
        <f>VLOOKUP(B105,patients!$A:$K,5,FALSE)</f>
        <v>35790</v>
      </c>
      <c r="F105">
        <f>VLOOKUP(B105,patients!$A:$K,6,FALSE)</f>
        <v>8545613046</v>
      </c>
      <c r="G105" t="str">
        <f>VLOOKUP(B105,patients!$A:$K,7,FALSE)</f>
        <v>123 Elm St</v>
      </c>
      <c r="H105" s="1">
        <f>VLOOKUP(B105,patients!$A:$K,8,FALSE)</f>
        <v>44838</v>
      </c>
      <c r="I105" t="str">
        <f>VLOOKUP(B105,patients!$A:$K,11,FALSE)</f>
        <v>michael.wilson@mail.com</v>
      </c>
      <c r="J105" t="s">
        <v>22</v>
      </c>
      <c r="K105" t="str">
        <f>VLOOKUP(J105,doctors!$A:$H,2,FALSE)&amp;" "&amp;VLOOKUP(J105,doctors!$A:$H,3,FALSE)</f>
        <v>Alex Davis</v>
      </c>
      <c r="L105" t="str">
        <f>VLOOKUP(J105,doctors!$A:$H,4,FALSE)</f>
        <v>Pediatrics</v>
      </c>
      <c r="M105">
        <f>VLOOKUP(J105,doctors!$A:$H,5,FALSE)</f>
        <v>6570137231</v>
      </c>
      <c r="N105" t="str">
        <f>VLOOKUP(J105,doctors!$A:$H,7,FALSE)</f>
        <v>Central Hospital</v>
      </c>
      <c r="O105" s="1">
        <v>45034</v>
      </c>
      <c r="P105" s="2">
        <v>0.36458333333333331</v>
      </c>
      <c r="Q105" t="s">
        <v>38</v>
      </c>
      <c r="R105" t="s">
        <v>41</v>
      </c>
      <c r="S105" t="s">
        <v>541</v>
      </c>
      <c r="T105" t="s">
        <v>440</v>
      </c>
      <c r="U105" s="3">
        <v>2898.31</v>
      </c>
      <c r="V105" s="1">
        <v>45034</v>
      </c>
      <c r="W105" t="s">
        <v>752</v>
      </c>
      <c r="X105" s="1">
        <v>45034</v>
      </c>
      <c r="Y105" s="3">
        <v>2898.31</v>
      </c>
      <c r="Z105" t="s">
        <v>652</v>
      </c>
      <c r="AA105" t="s">
        <v>650</v>
      </c>
    </row>
    <row r="106" spans="1:27" x14ac:dyDescent="0.35">
      <c r="A106" t="s">
        <v>174</v>
      </c>
      <c r="B106" t="s">
        <v>92</v>
      </c>
      <c r="C106" t="str">
        <f>VLOOKUP(B106,patients!$A:$K,2,FALSE)&amp;" "&amp;VLOOKUP('HOSPITAL MANAGEMENT DATA'!B106,patients!$A:$K,3,FALSE)</f>
        <v>Michael Taylor</v>
      </c>
      <c r="D106" t="str">
        <f>VLOOKUP(B106,patients!$A:$K,4,FALSE)</f>
        <v>M</v>
      </c>
      <c r="E106" s="1">
        <f>VLOOKUP(B106,patients!$A:$K,5,FALSE)</f>
        <v>37177</v>
      </c>
      <c r="F106">
        <f>VLOOKUP(B106,patients!$A:$K,6,FALSE)</f>
        <v>7081396733</v>
      </c>
      <c r="G106" t="str">
        <f>VLOOKUP(B106,patients!$A:$K,7,FALSE)</f>
        <v>123 Elm St</v>
      </c>
      <c r="H106" s="1">
        <f>VLOOKUP(B106,patients!$A:$K,8,FALSE)</f>
        <v>44797</v>
      </c>
      <c r="I106" t="str">
        <f>VLOOKUP(B106,patients!$A:$K,11,FALSE)</f>
        <v>michael.taylor@mail.com</v>
      </c>
      <c r="J106" t="s">
        <v>25</v>
      </c>
      <c r="K106" t="str">
        <f>VLOOKUP(J106,doctors!$A:$H,2,FALSE)&amp;" "&amp;VLOOKUP(J106,doctors!$A:$H,3,FALSE)</f>
        <v>Jane Smith</v>
      </c>
      <c r="L106" t="str">
        <f>VLOOKUP(J106,doctors!$A:$H,4,FALSE)</f>
        <v>Pediatrics</v>
      </c>
      <c r="M106">
        <f>VLOOKUP(J106,doctors!$A:$H,5,FALSE)</f>
        <v>8737740598</v>
      </c>
      <c r="N106" t="str">
        <f>VLOOKUP(J106,doctors!$A:$H,7,FALSE)</f>
        <v>Eastside Clinic</v>
      </c>
      <c r="O106" s="1">
        <v>45152</v>
      </c>
      <c r="P106" s="2">
        <v>0.66666666666666663</v>
      </c>
      <c r="Q106" t="s">
        <v>29</v>
      </c>
      <c r="R106" t="s">
        <v>15</v>
      </c>
      <c r="S106" t="s">
        <v>542</v>
      </c>
      <c r="T106" t="s">
        <v>440</v>
      </c>
      <c r="U106" s="3">
        <v>1959.5</v>
      </c>
      <c r="V106" s="1">
        <v>45152</v>
      </c>
      <c r="W106" t="s">
        <v>753</v>
      </c>
      <c r="X106" s="1">
        <v>45152</v>
      </c>
      <c r="Y106" s="3">
        <v>1959.5</v>
      </c>
      <c r="Z106" t="s">
        <v>655</v>
      </c>
      <c r="AA106" t="s">
        <v>645</v>
      </c>
    </row>
    <row r="107" spans="1:27" x14ac:dyDescent="0.35">
      <c r="A107" t="s">
        <v>175</v>
      </c>
      <c r="B107" t="s">
        <v>56</v>
      </c>
      <c r="C107" t="str">
        <f>VLOOKUP(B107,patients!$A:$K,2,FALSE)&amp;" "&amp;VLOOKUP('HOSPITAL MANAGEMENT DATA'!B107,patients!$A:$K,3,FALSE)</f>
        <v>Robert Williams</v>
      </c>
      <c r="D107" t="str">
        <f>VLOOKUP(B107,patients!$A:$K,4,FALSE)</f>
        <v>M</v>
      </c>
      <c r="E107" s="1">
        <f>VLOOKUP(B107,patients!$A:$K,5,FALSE)</f>
        <v>36196</v>
      </c>
      <c r="F107">
        <f>VLOOKUP(B107,patients!$A:$K,6,FALSE)</f>
        <v>8886800195</v>
      </c>
      <c r="G107" t="str">
        <f>VLOOKUP(B107,patients!$A:$K,7,FALSE)</f>
        <v>456 Oak Ave</v>
      </c>
      <c r="H107" s="1">
        <f>VLOOKUP(B107,patients!$A:$K,8,FALSE)</f>
        <v>44469</v>
      </c>
      <c r="I107" t="str">
        <f>VLOOKUP(B107,patients!$A:$K,11,FALSE)</f>
        <v>robert.williams@mail.com</v>
      </c>
      <c r="J107" t="s">
        <v>74</v>
      </c>
      <c r="K107" t="str">
        <f>VLOOKUP(J107,doctors!$A:$H,2,FALSE)&amp;" "&amp;VLOOKUP(J107,doctors!$A:$H,3,FALSE)</f>
        <v>Sarah Taylor</v>
      </c>
      <c r="L107" t="str">
        <f>VLOOKUP(J107,doctors!$A:$H,4,FALSE)</f>
        <v>Dermatology</v>
      </c>
      <c r="M107">
        <f>VLOOKUP(J107,doctors!$A:$H,5,FALSE)</f>
        <v>9118538547</v>
      </c>
      <c r="N107" t="str">
        <f>VLOOKUP(J107,doctors!$A:$H,7,FALSE)</f>
        <v>Central Hospital</v>
      </c>
      <c r="O107" s="1">
        <v>45228</v>
      </c>
      <c r="P107" s="2">
        <v>0.46875</v>
      </c>
      <c r="Q107" t="s">
        <v>10</v>
      </c>
      <c r="R107" t="s">
        <v>11</v>
      </c>
      <c r="S107" t="s">
        <v>543</v>
      </c>
      <c r="T107" t="s">
        <v>456</v>
      </c>
      <c r="U107" s="3">
        <v>1998.51</v>
      </c>
      <c r="V107" s="1">
        <v>45228</v>
      </c>
      <c r="W107" t="s">
        <v>754</v>
      </c>
      <c r="X107" s="1">
        <v>45228</v>
      </c>
      <c r="Y107" s="3">
        <v>1998.51</v>
      </c>
      <c r="Z107" t="s">
        <v>652</v>
      </c>
      <c r="AA107" t="s">
        <v>647</v>
      </c>
    </row>
    <row r="108" spans="1:27" x14ac:dyDescent="0.35">
      <c r="A108" t="s">
        <v>176</v>
      </c>
      <c r="B108" t="s">
        <v>177</v>
      </c>
      <c r="C108" t="str">
        <f>VLOOKUP(B108,patients!$A:$K,2,FALSE)&amp;" "&amp;VLOOKUP('HOSPITAL MANAGEMENT DATA'!B108,patients!$A:$K,3,FALSE)</f>
        <v>Laura Davis</v>
      </c>
      <c r="D108" t="str">
        <f>VLOOKUP(B108,patients!$A:$K,4,FALSE)</f>
        <v>M</v>
      </c>
      <c r="E108" s="1">
        <f>VLOOKUP(B108,patients!$A:$K,5,FALSE)</f>
        <v>26278</v>
      </c>
      <c r="F108">
        <f>VLOOKUP(B108,patients!$A:$K,6,FALSE)</f>
        <v>7060324619</v>
      </c>
      <c r="G108" t="str">
        <f>VLOOKUP(B108,patients!$A:$K,7,FALSE)</f>
        <v>321 Maple Dr</v>
      </c>
      <c r="H108" s="1">
        <f>VLOOKUP(B108,patients!$A:$K,8,FALSE)</f>
        <v>44822</v>
      </c>
      <c r="I108" t="str">
        <f>VLOOKUP(B108,patients!$A:$K,11,FALSE)</f>
        <v>laura.davis@mail.com</v>
      </c>
      <c r="J108" t="s">
        <v>32</v>
      </c>
      <c r="K108" t="str">
        <f>VLOOKUP(J108,doctors!$A:$H,2,FALSE)&amp;" "&amp;VLOOKUP(J108,doctors!$A:$H,3,FALSE)</f>
        <v>Robert Davis</v>
      </c>
      <c r="L108" t="str">
        <f>VLOOKUP(J108,doctors!$A:$H,4,FALSE)</f>
        <v>Oncology</v>
      </c>
      <c r="M108">
        <f>VLOOKUP(J108,doctors!$A:$H,5,FALSE)</f>
        <v>8217493115</v>
      </c>
      <c r="N108" t="str">
        <f>VLOOKUP(J108,doctors!$A:$H,7,FALSE)</f>
        <v>Westside Clinic</v>
      </c>
      <c r="O108" s="1">
        <v>45033</v>
      </c>
      <c r="P108" s="2">
        <v>0.57291666666666663</v>
      </c>
      <c r="Q108" t="s">
        <v>38</v>
      </c>
      <c r="R108" t="s">
        <v>41</v>
      </c>
      <c r="S108" t="s">
        <v>544</v>
      </c>
      <c r="T108" t="s">
        <v>431</v>
      </c>
      <c r="U108" s="3">
        <v>3512.69</v>
      </c>
      <c r="V108" s="1">
        <v>45033</v>
      </c>
      <c r="W108" t="s">
        <v>755</v>
      </c>
      <c r="X108" s="1">
        <v>45033</v>
      </c>
      <c r="Y108" s="3">
        <v>3512.69</v>
      </c>
      <c r="Z108" t="s">
        <v>652</v>
      </c>
      <c r="AA108" t="s">
        <v>645</v>
      </c>
    </row>
    <row r="109" spans="1:27" x14ac:dyDescent="0.35">
      <c r="A109" t="s">
        <v>178</v>
      </c>
      <c r="B109" t="s">
        <v>109</v>
      </c>
      <c r="C109" t="str">
        <f>VLOOKUP(B109,patients!$A:$K,2,FALSE)&amp;" "&amp;VLOOKUP('HOSPITAL MANAGEMENT DATA'!B109,patients!$A:$K,3,FALSE)</f>
        <v>Sarah Brown</v>
      </c>
      <c r="D109" t="str">
        <f>VLOOKUP(B109,patients!$A:$K,4,FALSE)</f>
        <v>F</v>
      </c>
      <c r="E109" s="1">
        <f>VLOOKUP(B109,patients!$A:$K,5,FALSE)</f>
        <v>33546</v>
      </c>
      <c r="F109">
        <f>VLOOKUP(B109,patients!$A:$K,6,FALSE)</f>
        <v>7196777444</v>
      </c>
      <c r="G109" t="str">
        <f>VLOOKUP(B109,patients!$A:$K,7,FALSE)</f>
        <v>321 Maple Dr</v>
      </c>
      <c r="H109" s="1">
        <f>VLOOKUP(B109,patients!$A:$K,8,FALSE)</f>
        <v>44441</v>
      </c>
      <c r="I109" t="str">
        <f>VLOOKUP(B109,patients!$A:$K,11,FALSE)</f>
        <v>sarah.brown@mail.com</v>
      </c>
      <c r="J109" t="s">
        <v>74</v>
      </c>
      <c r="K109" t="str">
        <f>VLOOKUP(J109,doctors!$A:$H,2,FALSE)&amp;" "&amp;VLOOKUP(J109,doctors!$A:$H,3,FALSE)</f>
        <v>Sarah Taylor</v>
      </c>
      <c r="L109" t="str">
        <f>VLOOKUP(J109,doctors!$A:$H,4,FALSE)</f>
        <v>Dermatology</v>
      </c>
      <c r="M109">
        <f>VLOOKUP(J109,doctors!$A:$H,5,FALSE)</f>
        <v>9118538547</v>
      </c>
      <c r="N109" t="str">
        <f>VLOOKUP(J109,doctors!$A:$H,7,FALSE)</f>
        <v>Central Hospital</v>
      </c>
      <c r="O109" s="1">
        <v>45037</v>
      </c>
      <c r="P109" s="2">
        <v>0.625</v>
      </c>
      <c r="Q109" t="s">
        <v>26</v>
      </c>
      <c r="R109" t="s">
        <v>19</v>
      </c>
      <c r="S109" t="s">
        <v>545</v>
      </c>
      <c r="T109" t="s">
        <v>456</v>
      </c>
      <c r="U109" s="3">
        <v>4973.63</v>
      </c>
      <c r="V109" s="1">
        <v>45037</v>
      </c>
      <c r="W109" t="s">
        <v>756</v>
      </c>
      <c r="X109" s="1">
        <v>45037</v>
      </c>
      <c r="Y109" s="3">
        <v>4973.63</v>
      </c>
      <c r="Z109" t="s">
        <v>655</v>
      </c>
      <c r="AA109" t="s">
        <v>647</v>
      </c>
    </row>
    <row r="110" spans="1:27" x14ac:dyDescent="0.35">
      <c r="A110" t="s">
        <v>179</v>
      </c>
      <c r="B110" t="s">
        <v>125</v>
      </c>
      <c r="C110" t="str">
        <f>VLOOKUP(B110,patients!$A:$K,2,FALSE)&amp;" "&amp;VLOOKUP('HOSPITAL MANAGEMENT DATA'!B110,patients!$A:$K,3,FALSE)</f>
        <v>David Wilson</v>
      </c>
      <c r="D110" t="str">
        <f>VLOOKUP(B110,patients!$A:$K,4,FALSE)</f>
        <v>F</v>
      </c>
      <c r="E110" s="1">
        <f>VLOOKUP(B110,patients!$A:$K,5,FALSE)</f>
        <v>34072</v>
      </c>
      <c r="F110">
        <f>VLOOKUP(B110,patients!$A:$K,6,FALSE)</f>
        <v>7039619487</v>
      </c>
      <c r="G110" t="str">
        <f>VLOOKUP(B110,patients!$A:$K,7,FALSE)</f>
        <v>123 Elm St</v>
      </c>
      <c r="H110" s="1">
        <f>VLOOKUP(B110,patients!$A:$K,8,FALSE)</f>
        <v>45116</v>
      </c>
      <c r="I110" t="str">
        <f>VLOOKUP(B110,patients!$A:$K,11,FALSE)</f>
        <v>david.wilson@mail.com</v>
      </c>
      <c r="J110" t="s">
        <v>74</v>
      </c>
      <c r="K110" t="str">
        <f>VLOOKUP(J110,doctors!$A:$H,2,FALSE)&amp;" "&amp;VLOOKUP(J110,doctors!$A:$H,3,FALSE)</f>
        <v>Sarah Taylor</v>
      </c>
      <c r="L110" t="str">
        <f>VLOOKUP(J110,doctors!$A:$H,4,FALSE)</f>
        <v>Dermatology</v>
      </c>
      <c r="M110">
        <f>VLOOKUP(J110,doctors!$A:$H,5,FALSE)</f>
        <v>9118538547</v>
      </c>
      <c r="N110" t="str">
        <f>VLOOKUP(J110,doctors!$A:$H,7,FALSE)</f>
        <v>Central Hospital</v>
      </c>
      <c r="O110" s="1">
        <v>45136</v>
      </c>
      <c r="P110" s="2">
        <v>0.58333333333333337</v>
      </c>
      <c r="Q110" t="s">
        <v>38</v>
      </c>
      <c r="R110" t="s">
        <v>11</v>
      </c>
      <c r="S110" t="s">
        <v>546</v>
      </c>
      <c r="T110" t="s">
        <v>431</v>
      </c>
      <c r="U110" s="3">
        <v>3478.28</v>
      </c>
      <c r="V110" s="1">
        <v>45136</v>
      </c>
      <c r="W110" t="s">
        <v>757</v>
      </c>
      <c r="X110" s="1">
        <v>45136</v>
      </c>
      <c r="Y110" s="3">
        <v>3478.28</v>
      </c>
      <c r="Z110" t="s">
        <v>655</v>
      </c>
      <c r="AA110" t="s">
        <v>645</v>
      </c>
    </row>
    <row r="111" spans="1:27" x14ac:dyDescent="0.35">
      <c r="A111" t="s">
        <v>180</v>
      </c>
      <c r="B111" t="s">
        <v>68</v>
      </c>
      <c r="C111" t="str">
        <f>VLOOKUP(B111,patients!$A:$K,2,FALSE)&amp;" "&amp;VLOOKUP('HOSPITAL MANAGEMENT DATA'!B111,patients!$A:$K,3,FALSE)</f>
        <v>David Moore</v>
      </c>
      <c r="D111" t="str">
        <f>VLOOKUP(B111,patients!$A:$K,4,FALSE)</f>
        <v>M</v>
      </c>
      <c r="E111" s="1">
        <f>VLOOKUP(B111,patients!$A:$K,5,FALSE)</f>
        <v>26629</v>
      </c>
      <c r="F111">
        <f>VLOOKUP(B111,patients!$A:$K,6,FALSE)</f>
        <v>7712937941</v>
      </c>
      <c r="G111" t="str">
        <f>VLOOKUP(B111,patients!$A:$K,7,FALSE)</f>
        <v>321 Maple Dr</v>
      </c>
      <c r="H111" s="1">
        <f>VLOOKUP(B111,patients!$A:$K,8,FALSE)</f>
        <v>45091</v>
      </c>
      <c r="I111" t="str">
        <f>VLOOKUP(B111,patients!$A:$K,11,FALSE)</f>
        <v>david.moore@mail.com</v>
      </c>
      <c r="J111" t="s">
        <v>74</v>
      </c>
      <c r="K111" t="str">
        <f>VLOOKUP(J111,doctors!$A:$H,2,FALSE)&amp;" "&amp;VLOOKUP(J111,doctors!$A:$H,3,FALSE)</f>
        <v>Sarah Taylor</v>
      </c>
      <c r="L111" t="str">
        <f>VLOOKUP(J111,doctors!$A:$H,4,FALSE)</f>
        <v>Dermatology</v>
      </c>
      <c r="M111">
        <f>VLOOKUP(J111,doctors!$A:$H,5,FALSE)</f>
        <v>9118538547</v>
      </c>
      <c r="N111" t="str">
        <f>VLOOKUP(J111,doctors!$A:$H,7,FALSE)</f>
        <v>Central Hospital</v>
      </c>
      <c r="O111" s="1">
        <v>45126</v>
      </c>
      <c r="P111" s="2">
        <v>0.60416666666666663</v>
      </c>
      <c r="Q111" t="s">
        <v>18</v>
      </c>
      <c r="R111" t="s">
        <v>11</v>
      </c>
      <c r="S111" t="s">
        <v>547</v>
      </c>
      <c r="T111" t="s">
        <v>431</v>
      </c>
      <c r="U111" s="3">
        <v>3010.03</v>
      </c>
      <c r="V111" s="1">
        <v>45126</v>
      </c>
      <c r="W111" t="s">
        <v>758</v>
      </c>
      <c r="X111" s="1">
        <v>45126</v>
      </c>
      <c r="Y111" s="3">
        <v>3010.03</v>
      </c>
      <c r="Z111" t="s">
        <v>655</v>
      </c>
      <c r="AA111" t="s">
        <v>650</v>
      </c>
    </row>
    <row r="112" spans="1:27" x14ac:dyDescent="0.35">
      <c r="A112" t="s">
        <v>181</v>
      </c>
      <c r="B112" t="s">
        <v>125</v>
      </c>
      <c r="C112" t="str">
        <f>VLOOKUP(B112,patients!$A:$K,2,FALSE)&amp;" "&amp;VLOOKUP('HOSPITAL MANAGEMENT DATA'!B112,patients!$A:$K,3,FALSE)</f>
        <v>David Wilson</v>
      </c>
      <c r="D112" t="str">
        <f>VLOOKUP(B112,patients!$A:$K,4,FALSE)</f>
        <v>F</v>
      </c>
      <c r="E112" s="1">
        <f>VLOOKUP(B112,patients!$A:$K,5,FALSE)</f>
        <v>34072</v>
      </c>
      <c r="F112">
        <f>VLOOKUP(B112,patients!$A:$K,6,FALSE)</f>
        <v>7039619487</v>
      </c>
      <c r="G112" t="str">
        <f>VLOOKUP(B112,patients!$A:$K,7,FALSE)</f>
        <v>123 Elm St</v>
      </c>
      <c r="H112" s="1">
        <f>VLOOKUP(B112,patients!$A:$K,8,FALSE)</f>
        <v>45116</v>
      </c>
      <c r="I112" t="str">
        <f>VLOOKUP(B112,patients!$A:$K,11,FALSE)</f>
        <v>david.wilson@mail.com</v>
      </c>
      <c r="J112" t="s">
        <v>35</v>
      </c>
      <c r="K112" t="str">
        <f>VLOOKUP(J112,doctors!$A:$H,2,FALSE)&amp;" "&amp;VLOOKUP(J112,doctors!$A:$H,3,FALSE)</f>
        <v>Linda Wilson</v>
      </c>
      <c r="L112" t="str">
        <f>VLOOKUP(J112,doctors!$A:$H,4,FALSE)</f>
        <v>Oncology</v>
      </c>
      <c r="M112">
        <f>VLOOKUP(J112,doctors!$A:$H,5,FALSE)</f>
        <v>6176383634</v>
      </c>
      <c r="N112" t="str">
        <f>VLOOKUP(J112,doctors!$A:$H,7,FALSE)</f>
        <v>Eastside Clinic</v>
      </c>
      <c r="O112" s="1">
        <v>45068</v>
      </c>
      <c r="P112" s="2">
        <v>0.64583333333333337</v>
      </c>
      <c r="Q112" t="s">
        <v>38</v>
      </c>
      <c r="R112" t="s">
        <v>11</v>
      </c>
      <c r="S112" t="s">
        <v>548</v>
      </c>
      <c r="T112" t="s">
        <v>434</v>
      </c>
      <c r="U112" s="3">
        <v>3787.93</v>
      </c>
      <c r="V112" s="1">
        <v>45068</v>
      </c>
      <c r="W112" t="s">
        <v>759</v>
      </c>
      <c r="X112" s="1">
        <v>45068</v>
      </c>
      <c r="Y112" s="3">
        <v>3787.93</v>
      </c>
      <c r="Z112" t="s">
        <v>652</v>
      </c>
      <c r="AA112" t="s">
        <v>647</v>
      </c>
    </row>
    <row r="113" spans="1:27" x14ac:dyDescent="0.35">
      <c r="A113" t="s">
        <v>182</v>
      </c>
      <c r="B113" t="s">
        <v>17</v>
      </c>
      <c r="C113" t="str">
        <f>VLOOKUP(B113,patients!$A:$K,2,FALSE)&amp;" "&amp;VLOOKUP('HOSPITAL MANAGEMENT DATA'!B113,patients!$A:$K,3,FALSE)</f>
        <v>Emily Miller</v>
      </c>
      <c r="D113" t="str">
        <f>VLOOKUP(B113,patients!$A:$K,4,FALSE)</f>
        <v>M</v>
      </c>
      <c r="E113" s="1">
        <f>VLOOKUP(B113,patients!$A:$K,5,FALSE)</f>
        <v>30399</v>
      </c>
      <c r="F113">
        <f>VLOOKUP(B113,patients!$A:$K,6,FALSE)</f>
        <v>8720989381</v>
      </c>
      <c r="G113" t="str">
        <f>VLOOKUP(B113,patients!$A:$K,7,FALSE)</f>
        <v>123 Elm St</v>
      </c>
      <c r="H113" s="1">
        <f>VLOOKUP(B113,patients!$A:$K,8,FALSE)</f>
        <v>45096</v>
      </c>
      <c r="I113" t="str">
        <f>VLOOKUP(B113,patients!$A:$K,11,FALSE)</f>
        <v>emily.miller@mail.com</v>
      </c>
      <c r="J113" t="s">
        <v>35</v>
      </c>
      <c r="K113" t="str">
        <f>VLOOKUP(J113,doctors!$A:$H,2,FALSE)&amp;" "&amp;VLOOKUP(J113,doctors!$A:$H,3,FALSE)</f>
        <v>Linda Wilson</v>
      </c>
      <c r="L113" t="str">
        <f>VLOOKUP(J113,doctors!$A:$H,4,FALSE)</f>
        <v>Oncology</v>
      </c>
      <c r="M113">
        <f>VLOOKUP(J113,doctors!$A:$H,5,FALSE)</f>
        <v>6176383634</v>
      </c>
      <c r="N113" t="str">
        <f>VLOOKUP(J113,doctors!$A:$H,7,FALSE)</f>
        <v>Eastside Clinic</v>
      </c>
      <c r="O113" s="1">
        <v>44937</v>
      </c>
      <c r="P113" s="2">
        <v>0.33333333333333331</v>
      </c>
      <c r="Q113" t="s">
        <v>38</v>
      </c>
      <c r="R113" t="s">
        <v>15</v>
      </c>
      <c r="S113" t="s">
        <v>549</v>
      </c>
      <c r="T113" t="s">
        <v>434</v>
      </c>
      <c r="U113" s="3">
        <v>2593.4299999999998</v>
      </c>
      <c r="V113" s="1">
        <v>44937</v>
      </c>
      <c r="W113" t="s">
        <v>760</v>
      </c>
      <c r="X113" s="1">
        <v>44937</v>
      </c>
      <c r="Y113" s="3">
        <v>2593.4299999999998</v>
      </c>
      <c r="Z113" t="s">
        <v>644</v>
      </c>
      <c r="AA113" t="s">
        <v>645</v>
      </c>
    </row>
    <row r="114" spans="1:27" x14ac:dyDescent="0.35">
      <c r="A114" t="s">
        <v>183</v>
      </c>
      <c r="B114" t="s">
        <v>84</v>
      </c>
      <c r="C114" t="str">
        <f>VLOOKUP(B114,patients!$A:$K,2,FALSE)&amp;" "&amp;VLOOKUP('HOSPITAL MANAGEMENT DATA'!B114,patients!$A:$K,3,FALSE)</f>
        <v>Michael Wilson</v>
      </c>
      <c r="D114" t="str">
        <f>VLOOKUP(B114,patients!$A:$K,4,FALSE)</f>
        <v>M</v>
      </c>
      <c r="E114" s="1">
        <f>VLOOKUP(B114,patients!$A:$K,5,FALSE)</f>
        <v>35790</v>
      </c>
      <c r="F114">
        <f>VLOOKUP(B114,patients!$A:$K,6,FALSE)</f>
        <v>8545613046</v>
      </c>
      <c r="G114" t="str">
        <f>VLOOKUP(B114,patients!$A:$K,7,FALSE)</f>
        <v>123 Elm St</v>
      </c>
      <c r="H114" s="1">
        <f>VLOOKUP(B114,patients!$A:$K,8,FALSE)</f>
        <v>44838</v>
      </c>
      <c r="I114" t="str">
        <f>VLOOKUP(B114,patients!$A:$K,11,FALSE)</f>
        <v>michael.wilson@mail.com</v>
      </c>
      <c r="J114" t="s">
        <v>25</v>
      </c>
      <c r="K114" t="str">
        <f>VLOOKUP(J114,doctors!$A:$H,2,FALSE)&amp;" "&amp;VLOOKUP(J114,doctors!$A:$H,3,FALSE)</f>
        <v>Jane Smith</v>
      </c>
      <c r="L114" t="str">
        <f>VLOOKUP(J114,doctors!$A:$H,4,FALSE)</f>
        <v>Pediatrics</v>
      </c>
      <c r="M114">
        <f>VLOOKUP(J114,doctors!$A:$H,5,FALSE)</f>
        <v>8737740598</v>
      </c>
      <c r="N114" t="str">
        <f>VLOOKUP(J114,doctors!$A:$H,7,FALSE)</f>
        <v>Eastside Clinic</v>
      </c>
      <c r="O114" s="1">
        <v>45254</v>
      </c>
      <c r="P114" s="2">
        <v>0.64583333333333337</v>
      </c>
      <c r="Q114" t="s">
        <v>18</v>
      </c>
      <c r="R114" t="s">
        <v>19</v>
      </c>
      <c r="S114" t="s">
        <v>550</v>
      </c>
      <c r="T114" t="s">
        <v>431</v>
      </c>
      <c r="U114" s="3">
        <v>770.64</v>
      </c>
      <c r="V114" s="1">
        <v>45254</v>
      </c>
      <c r="W114" t="s">
        <v>761</v>
      </c>
      <c r="X114" s="1">
        <v>45254</v>
      </c>
      <c r="Y114" s="3">
        <v>770.64</v>
      </c>
      <c r="Z114" t="s">
        <v>644</v>
      </c>
      <c r="AA114" t="s">
        <v>645</v>
      </c>
    </row>
    <row r="115" spans="1:27" x14ac:dyDescent="0.35">
      <c r="A115" t="s">
        <v>184</v>
      </c>
      <c r="B115" t="s">
        <v>185</v>
      </c>
      <c r="C115" t="str">
        <f>VLOOKUP(B115,patients!$A:$K,2,FALSE)&amp;" "&amp;VLOOKUP('HOSPITAL MANAGEMENT DATA'!B115,patients!$A:$K,3,FALSE)</f>
        <v>Laura Wilson</v>
      </c>
      <c r="D115" t="str">
        <f>VLOOKUP(B115,patients!$A:$K,4,FALSE)</f>
        <v>M</v>
      </c>
      <c r="E115" s="1">
        <f>VLOOKUP(B115,patients!$A:$K,5,FALSE)</f>
        <v>29122</v>
      </c>
      <c r="F115">
        <f>VLOOKUP(B115,patients!$A:$K,6,FALSE)</f>
        <v>7145815738</v>
      </c>
      <c r="G115" t="str">
        <f>VLOOKUP(B115,patients!$A:$K,7,FALSE)</f>
        <v>789 Pine Rd</v>
      </c>
      <c r="H115" s="1">
        <f>VLOOKUP(B115,patients!$A:$K,8,FALSE)</f>
        <v>44827</v>
      </c>
      <c r="I115" t="str">
        <f>VLOOKUP(B115,patients!$A:$K,11,FALSE)</f>
        <v>laura.wilson@mail.com</v>
      </c>
      <c r="J115" t="s">
        <v>59</v>
      </c>
      <c r="K115" t="str">
        <f>VLOOKUP(J115,doctors!$A:$H,2,FALSE)&amp;" "&amp;VLOOKUP(J115,doctors!$A:$H,3,FALSE)</f>
        <v>David Taylor</v>
      </c>
      <c r="L115" t="str">
        <f>VLOOKUP(J115,doctors!$A:$H,4,FALSE)</f>
        <v>Dermatology</v>
      </c>
      <c r="M115">
        <f>VLOOKUP(J115,doctors!$A:$H,5,FALSE)</f>
        <v>8322010158</v>
      </c>
      <c r="N115" t="str">
        <f>VLOOKUP(J115,doctors!$A:$H,7,FALSE)</f>
        <v>Westside Clinic</v>
      </c>
      <c r="O115" s="1">
        <v>45146</v>
      </c>
      <c r="P115" s="2">
        <v>0.375</v>
      </c>
      <c r="Q115" t="s">
        <v>10</v>
      </c>
      <c r="R115" t="s">
        <v>41</v>
      </c>
      <c r="S115" t="s">
        <v>551</v>
      </c>
      <c r="T115" t="s">
        <v>431</v>
      </c>
      <c r="U115" s="3">
        <v>3030.34</v>
      </c>
      <c r="V115" s="1">
        <v>45146</v>
      </c>
      <c r="W115" t="s">
        <v>762</v>
      </c>
      <c r="X115" s="1">
        <v>45146</v>
      </c>
      <c r="Y115" s="3">
        <v>3030.34</v>
      </c>
      <c r="Z115" t="s">
        <v>655</v>
      </c>
      <c r="AA115" t="s">
        <v>645</v>
      </c>
    </row>
    <row r="116" spans="1:27" x14ac:dyDescent="0.35">
      <c r="A116" t="s">
        <v>186</v>
      </c>
      <c r="B116" t="s">
        <v>68</v>
      </c>
      <c r="C116" t="str">
        <f>VLOOKUP(B116,patients!$A:$K,2,FALSE)&amp;" "&amp;VLOOKUP('HOSPITAL MANAGEMENT DATA'!B116,patients!$A:$K,3,FALSE)</f>
        <v>David Moore</v>
      </c>
      <c r="D116" t="str">
        <f>VLOOKUP(B116,patients!$A:$K,4,FALSE)</f>
        <v>M</v>
      </c>
      <c r="E116" s="1">
        <f>VLOOKUP(B116,patients!$A:$K,5,FALSE)</f>
        <v>26629</v>
      </c>
      <c r="F116">
        <f>VLOOKUP(B116,patients!$A:$K,6,FALSE)</f>
        <v>7712937941</v>
      </c>
      <c r="G116" t="str">
        <f>VLOOKUP(B116,patients!$A:$K,7,FALSE)</f>
        <v>321 Maple Dr</v>
      </c>
      <c r="H116" s="1">
        <f>VLOOKUP(B116,patients!$A:$K,8,FALSE)</f>
        <v>45091</v>
      </c>
      <c r="I116" t="str">
        <f>VLOOKUP(B116,patients!$A:$K,11,FALSE)</f>
        <v>david.moore@mail.com</v>
      </c>
      <c r="J116" t="s">
        <v>74</v>
      </c>
      <c r="K116" t="str">
        <f>VLOOKUP(J116,doctors!$A:$H,2,FALSE)&amp;" "&amp;VLOOKUP(J116,doctors!$A:$H,3,FALSE)</f>
        <v>Sarah Taylor</v>
      </c>
      <c r="L116" t="str">
        <f>VLOOKUP(J116,doctors!$A:$H,4,FALSE)</f>
        <v>Dermatology</v>
      </c>
      <c r="M116">
        <f>VLOOKUP(J116,doctors!$A:$H,5,FALSE)</f>
        <v>9118538547</v>
      </c>
      <c r="N116" t="str">
        <f>VLOOKUP(J116,doctors!$A:$H,7,FALSE)</f>
        <v>Central Hospital</v>
      </c>
      <c r="O116" s="1">
        <v>45224</v>
      </c>
      <c r="P116" s="2">
        <v>0.4375</v>
      </c>
      <c r="Q116" t="s">
        <v>10</v>
      </c>
      <c r="R116" t="s">
        <v>15</v>
      </c>
      <c r="S116" t="s">
        <v>552</v>
      </c>
      <c r="T116" t="s">
        <v>456</v>
      </c>
      <c r="U116" s="3">
        <v>4809.3100000000004</v>
      </c>
      <c r="V116" s="1">
        <v>45224</v>
      </c>
      <c r="W116" t="s">
        <v>763</v>
      </c>
      <c r="X116" s="1">
        <v>45224</v>
      </c>
      <c r="Y116" s="3">
        <v>4809.3100000000004</v>
      </c>
      <c r="Z116" t="s">
        <v>644</v>
      </c>
      <c r="AA116" t="s">
        <v>647</v>
      </c>
    </row>
    <row r="117" spans="1:27" x14ac:dyDescent="0.35">
      <c r="A117" t="s">
        <v>187</v>
      </c>
      <c r="B117" t="s">
        <v>37</v>
      </c>
      <c r="C117" t="str">
        <f>VLOOKUP(B117,patients!$A:$K,2,FALSE)&amp;" "&amp;VLOOKUP('HOSPITAL MANAGEMENT DATA'!B117,patients!$A:$K,3,FALSE)</f>
        <v>Jane Wilson</v>
      </c>
      <c r="D117" t="str">
        <f>VLOOKUP(B117,patients!$A:$K,4,FALSE)</f>
        <v>F</v>
      </c>
      <c r="E117" s="1">
        <f>VLOOKUP(B117,patients!$A:$K,5,FALSE)</f>
        <v>18609</v>
      </c>
      <c r="F117">
        <f>VLOOKUP(B117,patients!$A:$K,6,FALSE)</f>
        <v>9271131338</v>
      </c>
      <c r="G117" t="str">
        <f>VLOOKUP(B117,patients!$A:$K,7,FALSE)</f>
        <v>789 Pine Rd</v>
      </c>
      <c r="H117" s="1">
        <f>VLOOKUP(B117,patients!$A:$K,8,FALSE)</f>
        <v>44264</v>
      </c>
      <c r="I117" t="str">
        <f>VLOOKUP(B117,patients!$A:$K,11,FALSE)</f>
        <v>jane.wilson@mail.com</v>
      </c>
      <c r="J117" t="s">
        <v>9</v>
      </c>
      <c r="K117" t="str">
        <f>VLOOKUP(J117,doctors!$A:$H,2,FALSE)&amp;" "&amp;VLOOKUP(J117,doctors!$A:$H,3,FALSE)</f>
        <v>Sarah Smith</v>
      </c>
      <c r="L117" t="str">
        <f>VLOOKUP(J117,doctors!$A:$H,4,FALSE)</f>
        <v>Pediatrics</v>
      </c>
      <c r="M117">
        <f>VLOOKUP(J117,doctors!$A:$H,5,FALSE)</f>
        <v>7387087517</v>
      </c>
      <c r="N117" t="str">
        <f>VLOOKUP(J117,doctors!$A:$H,7,FALSE)</f>
        <v>Central Hospital</v>
      </c>
      <c r="O117" s="1">
        <v>45114</v>
      </c>
      <c r="P117" s="2">
        <v>0.38541666666666669</v>
      </c>
      <c r="Q117" t="s">
        <v>38</v>
      </c>
      <c r="R117" t="s">
        <v>15</v>
      </c>
      <c r="S117" t="s">
        <v>553</v>
      </c>
      <c r="T117" t="s">
        <v>456</v>
      </c>
      <c r="U117" s="3">
        <v>1288.8599999999999</v>
      </c>
      <c r="V117" s="1">
        <v>45114</v>
      </c>
      <c r="W117" t="s">
        <v>764</v>
      </c>
      <c r="X117" s="1">
        <v>45114</v>
      </c>
      <c r="Y117" s="3">
        <v>1288.8599999999999</v>
      </c>
      <c r="Z117" t="s">
        <v>655</v>
      </c>
      <c r="AA117" t="s">
        <v>647</v>
      </c>
    </row>
    <row r="118" spans="1:27" x14ac:dyDescent="0.35">
      <c r="A118" t="s">
        <v>188</v>
      </c>
      <c r="B118" t="s">
        <v>13</v>
      </c>
      <c r="C118" t="str">
        <f>VLOOKUP(B118,patients!$A:$K,2,FALSE)&amp;" "&amp;VLOOKUP('HOSPITAL MANAGEMENT DATA'!B118,patients!$A:$K,3,FALSE)</f>
        <v>Alex Moore</v>
      </c>
      <c r="D118" t="str">
        <f>VLOOKUP(B118,patients!$A:$K,4,FALSE)</f>
        <v>M</v>
      </c>
      <c r="E118" s="1">
        <f>VLOOKUP(B118,patients!$A:$K,5,FALSE)</f>
        <v>29594</v>
      </c>
      <c r="F118">
        <f>VLOOKUP(B118,patients!$A:$K,6,FALSE)</f>
        <v>8102183595</v>
      </c>
      <c r="G118" t="str">
        <f>VLOOKUP(B118,patients!$A:$K,7,FALSE)</f>
        <v>123 Elm St</v>
      </c>
      <c r="H118" s="1">
        <f>VLOOKUP(B118,patients!$A:$K,8,FALSE)</f>
        <v>44471</v>
      </c>
      <c r="I118" t="str">
        <f>VLOOKUP(B118,patients!$A:$K,11,FALSE)</f>
        <v>alex.moore@mail.com</v>
      </c>
      <c r="J118" t="s">
        <v>59</v>
      </c>
      <c r="K118" t="str">
        <f>VLOOKUP(J118,doctors!$A:$H,2,FALSE)&amp;" "&amp;VLOOKUP(J118,doctors!$A:$H,3,FALSE)</f>
        <v>David Taylor</v>
      </c>
      <c r="L118" t="str">
        <f>VLOOKUP(J118,doctors!$A:$H,4,FALSE)</f>
        <v>Dermatology</v>
      </c>
      <c r="M118">
        <f>VLOOKUP(J118,doctors!$A:$H,5,FALSE)</f>
        <v>8322010158</v>
      </c>
      <c r="N118" t="str">
        <f>VLOOKUP(J118,doctors!$A:$H,7,FALSE)</f>
        <v>Westside Clinic</v>
      </c>
      <c r="O118" s="1">
        <v>45097</v>
      </c>
      <c r="P118" s="2">
        <v>0.57291666666666663</v>
      </c>
      <c r="Q118" t="s">
        <v>18</v>
      </c>
      <c r="R118" t="s">
        <v>15</v>
      </c>
      <c r="S118" t="s">
        <v>554</v>
      </c>
      <c r="T118" t="s">
        <v>434</v>
      </c>
      <c r="U118" s="3">
        <v>3605.02</v>
      </c>
      <c r="V118" s="1">
        <v>45097</v>
      </c>
      <c r="W118" t="s">
        <v>765</v>
      </c>
      <c r="X118" s="1">
        <v>45097</v>
      </c>
      <c r="Y118" s="3">
        <v>3605.02</v>
      </c>
      <c r="Z118" t="s">
        <v>652</v>
      </c>
      <c r="AA118" t="s">
        <v>647</v>
      </c>
    </row>
    <row r="119" spans="1:27" x14ac:dyDescent="0.35">
      <c r="A119" t="s">
        <v>189</v>
      </c>
      <c r="B119" t="s">
        <v>109</v>
      </c>
      <c r="C119" t="str">
        <f>VLOOKUP(B119,patients!$A:$K,2,FALSE)&amp;" "&amp;VLOOKUP('HOSPITAL MANAGEMENT DATA'!B119,patients!$A:$K,3,FALSE)</f>
        <v>Sarah Brown</v>
      </c>
      <c r="D119" t="str">
        <f>VLOOKUP(B119,patients!$A:$K,4,FALSE)</f>
        <v>F</v>
      </c>
      <c r="E119" s="1">
        <f>VLOOKUP(B119,patients!$A:$K,5,FALSE)</f>
        <v>33546</v>
      </c>
      <c r="F119">
        <f>VLOOKUP(B119,patients!$A:$K,6,FALSE)</f>
        <v>7196777444</v>
      </c>
      <c r="G119" t="str">
        <f>VLOOKUP(B119,patients!$A:$K,7,FALSE)</f>
        <v>321 Maple Dr</v>
      </c>
      <c r="H119" s="1">
        <f>VLOOKUP(B119,patients!$A:$K,8,FALSE)</f>
        <v>44441</v>
      </c>
      <c r="I119" t="str">
        <f>VLOOKUP(B119,patients!$A:$K,11,FALSE)</f>
        <v>sarah.brown@mail.com</v>
      </c>
      <c r="J119" t="s">
        <v>25</v>
      </c>
      <c r="K119" t="str">
        <f>VLOOKUP(J119,doctors!$A:$H,2,FALSE)&amp;" "&amp;VLOOKUP(J119,doctors!$A:$H,3,FALSE)</f>
        <v>Jane Smith</v>
      </c>
      <c r="L119" t="str">
        <f>VLOOKUP(J119,doctors!$A:$H,4,FALSE)</f>
        <v>Pediatrics</v>
      </c>
      <c r="M119">
        <f>VLOOKUP(J119,doctors!$A:$H,5,FALSE)</f>
        <v>8737740598</v>
      </c>
      <c r="N119" t="str">
        <f>VLOOKUP(J119,doctors!$A:$H,7,FALSE)</f>
        <v>Eastside Clinic</v>
      </c>
      <c r="O119" s="1">
        <v>45147</v>
      </c>
      <c r="P119" s="2">
        <v>0.34375</v>
      </c>
      <c r="Q119" t="s">
        <v>18</v>
      </c>
      <c r="R119" t="s">
        <v>11</v>
      </c>
      <c r="S119" t="s">
        <v>555</v>
      </c>
      <c r="T119" t="s">
        <v>440</v>
      </c>
      <c r="U119" s="3">
        <v>1404.2</v>
      </c>
      <c r="V119" s="1">
        <v>45147</v>
      </c>
      <c r="W119" t="s">
        <v>766</v>
      </c>
      <c r="X119" s="1">
        <v>45147</v>
      </c>
      <c r="Y119" s="3">
        <v>1404.2</v>
      </c>
      <c r="Z119" t="s">
        <v>644</v>
      </c>
      <c r="AA119" t="s">
        <v>650</v>
      </c>
    </row>
    <row r="120" spans="1:27" x14ac:dyDescent="0.35">
      <c r="A120" t="s">
        <v>190</v>
      </c>
      <c r="B120" t="s">
        <v>90</v>
      </c>
      <c r="C120" t="str">
        <f>VLOOKUP(B120,patients!$A:$K,2,FALSE)&amp;" "&amp;VLOOKUP('HOSPITAL MANAGEMENT DATA'!B120,patients!$A:$K,3,FALSE)</f>
        <v>Linda Johnson</v>
      </c>
      <c r="D120" t="str">
        <f>VLOOKUP(B120,patients!$A:$K,4,FALSE)</f>
        <v>M</v>
      </c>
      <c r="E120" s="1">
        <f>VLOOKUP(B120,patients!$A:$K,5,FALSE)</f>
        <v>34387</v>
      </c>
      <c r="F120">
        <f>VLOOKUP(B120,patients!$A:$K,6,FALSE)</f>
        <v>6141951830</v>
      </c>
      <c r="G120" t="str">
        <f>VLOOKUP(B120,patients!$A:$K,7,FALSE)</f>
        <v>789 Pine Rd</v>
      </c>
      <c r="H120" s="1">
        <f>VLOOKUP(B120,patients!$A:$K,8,FALSE)</f>
        <v>44557</v>
      </c>
      <c r="I120" t="str">
        <f>VLOOKUP(B120,patients!$A:$K,11,FALSE)</f>
        <v>linda.johnson@mail.com</v>
      </c>
      <c r="J120" t="s">
        <v>14</v>
      </c>
      <c r="K120" t="str">
        <f>VLOOKUP(J120,doctors!$A:$H,2,FALSE)&amp;" "&amp;VLOOKUP(J120,doctors!$A:$H,3,FALSE)</f>
        <v>David Jones</v>
      </c>
      <c r="L120" t="str">
        <f>VLOOKUP(J120,doctors!$A:$H,4,FALSE)</f>
        <v>Pediatrics</v>
      </c>
      <c r="M120">
        <f>VLOOKUP(J120,doctors!$A:$H,5,FALSE)</f>
        <v>6594221991</v>
      </c>
      <c r="N120" t="str">
        <f>VLOOKUP(J120,doctors!$A:$H,7,FALSE)</f>
        <v>Central Hospital</v>
      </c>
      <c r="O120" s="1">
        <v>45278</v>
      </c>
      <c r="P120" s="2">
        <v>0.5625</v>
      </c>
      <c r="Q120" t="s">
        <v>26</v>
      </c>
      <c r="R120" t="s">
        <v>19</v>
      </c>
      <c r="S120" t="s">
        <v>556</v>
      </c>
      <c r="T120" t="s">
        <v>431</v>
      </c>
      <c r="U120" s="3">
        <v>2911.22</v>
      </c>
      <c r="V120" s="1">
        <v>45278</v>
      </c>
      <c r="W120" t="s">
        <v>767</v>
      </c>
      <c r="X120" s="1">
        <v>45278</v>
      </c>
      <c r="Y120" s="3">
        <v>2911.22</v>
      </c>
      <c r="Z120" t="s">
        <v>652</v>
      </c>
      <c r="AA120" t="s">
        <v>650</v>
      </c>
    </row>
    <row r="121" spans="1:27" x14ac:dyDescent="0.35">
      <c r="A121" t="s">
        <v>191</v>
      </c>
      <c r="B121" t="s">
        <v>13</v>
      </c>
      <c r="C121" t="str">
        <f>VLOOKUP(B121,patients!$A:$K,2,FALSE)&amp;" "&amp;VLOOKUP('HOSPITAL MANAGEMENT DATA'!B121,patients!$A:$K,3,FALSE)</f>
        <v>Alex Moore</v>
      </c>
      <c r="D121" t="str">
        <f>VLOOKUP(B121,patients!$A:$K,4,FALSE)</f>
        <v>M</v>
      </c>
      <c r="E121" s="1">
        <f>VLOOKUP(B121,patients!$A:$K,5,FALSE)</f>
        <v>29594</v>
      </c>
      <c r="F121">
        <f>VLOOKUP(B121,patients!$A:$K,6,FALSE)</f>
        <v>8102183595</v>
      </c>
      <c r="G121" t="str">
        <f>VLOOKUP(B121,patients!$A:$K,7,FALSE)</f>
        <v>123 Elm St</v>
      </c>
      <c r="H121" s="1">
        <f>VLOOKUP(B121,patients!$A:$K,8,FALSE)</f>
        <v>44471</v>
      </c>
      <c r="I121" t="str">
        <f>VLOOKUP(B121,patients!$A:$K,11,FALSE)</f>
        <v>alex.moore@mail.com</v>
      </c>
      <c r="J121" t="s">
        <v>59</v>
      </c>
      <c r="K121" t="str">
        <f>VLOOKUP(J121,doctors!$A:$H,2,FALSE)&amp;" "&amp;VLOOKUP(J121,doctors!$A:$H,3,FALSE)</f>
        <v>David Taylor</v>
      </c>
      <c r="L121" t="str">
        <f>VLOOKUP(J121,doctors!$A:$H,4,FALSE)</f>
        <v>Dermatology</v>
      </c>
      <c r="M121">
        <f>VLOOKUP(J121,doctors!$A:$H,5,FALSE)</f>
        <v>8322010158</v>
      </c>
      <c r="N121" t="str">
        <f>VLOOKUP(J121,doctors!$A:$H,7,FALSE)</f>
        <v>Westside Clinic</v>
      </c>
      <c r="O121" s="1">
        <v>45268</v>
      </c>
      <c r="P121" s="2">
        <v>0.45833333333333331</v>
      </c>
      <c r="Q121" t="s">
        <v>10</v>
      </c>
      <c r="R121" t="s">
        <v>15</v>
      </c>
      <c r="S121" t="s">
        <v>557</v>
      </c>
      <c r="T121" t="s">
        <v>456</v>
      </c>
      <c r="U121" s="3">
        <v>935.04</v>
      </c>
      <c r="V121" s="1">
        <v>45268</v>
      </c>
      <c r="W121" t="s">
        <v>768</v>
      </c>
      <c r="X121" s="1">
        <v>45268</v>
      </c>
      <c r="Y121" s="3">
        <v>935.04</v>
      </c>
      <c r="Z121" t="s">
        <v>644</v>
      </c>
      <c r="AA121" t="s">
        <v>647</v>
      </c>
    </row>
    <row r="122" spans="1:27" x14ac:dyDescent="0.35">
      <c r="A122" t="s">
        <v>192</v>
      </c>
      <c r="B122" t="s">
        <v>56</v>
      </c>
      <c r="C122" t="str">
        <f>VLOOKUP(B122,patients!$A:$K,2,FALSE)&amp;" "&amp;VLOOKUP('HOSPITAL MANAGEMENT DATA'!B122,patients!$A:$K,3,FALSE)</f>
        <v>Robert Williams</v>
      </c>
      <c r="D122" t="str">
        <f>VLOOKUP(B122,patients!$A:$K,4,FALSE)</f>
        <v>M</v>
      </c>
      <c r="E122" s="1">
        <f>VLOOKUP(B122,patients!$A:$K,5,FALSE)</f>
        <v>36196</v>
      </c>
      <c r="F122">
        <f>VLOOKUP(B122,patients!$A:$K,6,FALSE)</f>
        <v>8886800195</v>
      </c>
      <c r="G122" t="str">
        <f>VLOOKUP(B122,patients!$A:$K,7,FALSE)</f>
        <v>456 Oak Ave</v>
      </c>
      <c r="H122" s="1">
        <f>VLOOKUP(B122,patients!$A:$K,8,FALSE)</f>
        <v>44469</v>
      </c>
      <c r="I122" t="str">
        <f>VLOOKUP(B122,patients!$A:$K,11,FALSE)</f>
        <v>robert.williams@mail.com</v>
      </c>
      <c r="J122" t="s">
        <v>59</v>
      </c>
      <c r="K122" t="str">
        <f>VLOOKUP(J122,doctors!$A:$H,2,FALSE)&amp;" "&amp;VLOOKUP(J122,doctors!$A:$H,3,FALSE)</f>
        <v>David Taylor</v>
      </c>
      <c r="L122" t="str">
        <f>VLOOKUP(J122,doctors!$A:$H,4,FALSE)</f>
        <v>Dermatology</v>
      </c>
      <c r="M122">
        <f>VLOOKUP(J122,doctors!$A:$H,5,FALSE)</f>
        <v>8322010158</v>
      </c>
      <c r="N122" t="str">
        <f>VLOOKUP(J122,doctors!$A:$H,7,FALSE)</f>
        <v>Westside Clinic</v>
      </c>
      <c r="O122" s="1">
        <v>45023</v>
      </c>
      <c r="P122" s="2">
        <v>0.625</v>
      </c>
      <c r="Q122" t="s">
        <v>29</v>
      </c>
      <c r="R122" t="s">
        <v>41</v>
      </c>
      <c r="S122" t="s">
        <v>558</v>
      </c>
      <c r="T122" t="s">
        <v>434</v>
      </c>
      <c r="U122" s="3">
        <v>2526.67</v>
      </c>
      <c r="V122" s="1">
        <v>45023</v>
      </c>
      <c r="W122" t="s">
        <v>769</v>
      </c>
      <c r="X122" s="1">
        <v>45023</v>
      </c>
      <c r="Y122" s="3">
        <v>2526.67</v>
      </c>
      <c r="Z122" t="s">
        <v>652</v>
      </c>
      <c r="AA122" t="s">
        <v>645</v>
      </c>
    </row>
    <row r="123" spans="1:27" x14ac:dyDescent="0.35">
      <c r="A123" t="s">
        <v>193</v>
      </c>
      <c r="B123" t="s">
        <v>50</v>
      </c>
      <c r="C123" t="str">
        <f>VLOOKUP(B123,patients!$A:$K,2,FALSE)&amp;" "&amp;VLOOKUP('HOSPITAL MANAGEMENT DATA'!B123,patients!$A:$K,3,FALSE)</f>
        <v>Laura Davis</v>
      </c>
      <c r="D123" t="str">
        <f>VLOOKUP(B123,patients!$A:$K,4,FALSE)</f>
        <v>F</v>
      </c>
      <c r="E123" s="1">
        <f>VLOOKUP(B123,patients!$A:$K,5,FALSE)</f>
        <v>33580</v>
      </c>
      <c r="F123">
        <f>VLOOKUP(B123,patients!$A:$K,6,FALSE)</f>
        <v>8135666049</v>
      </c>
      <c r="G123" t="str">
        <f>VLOOKUP(B123,patients!$A:$K,7,FALSE)</f>
        <v>321 Maple Dr</v>
      </c>
      <c r="H123" s="1">
        <f>VLOOKUP(B123,patients!$A:$K,8,FALSE)</f>
        <v>45043</v>
      </c>
      <c r="I123" t="str">
        <f>VLOOKUP(B123,patients!$A:$K,11,FALSE)</f>
        <v>laura.davis@mail.com</v>
      </c>
      <c r="J123" t="s">
        <v>54</v>
      </c>
      <c r="K123" t="str">
        <f>VLOOKUP(J123,doctors!$A:$H,2,FALSE)&amp;" "&amp;VLOOKUP(J123,doctors!$A:$H,3,FALSE)</f>
        <v>Linda Brown</v>
      </c>
      <c r="L123" t="str">
        <f>VLOOKUP(J123,doctors!$A:$H,4,FALSE)</f>
        <v>Dermatology</v>
      </c>
      <c r="M123">
        <f>VLOOKUP(J123,doctors!$A:$H,5,FALSE)</f>
        <v>9069162601</v>
      </c>
      <c r="N123" t="str">
        <f>VLOOKUP(J123,doctors!$A:$H,7,FALSE)</f>
        <v>Westside Clinic</v>
      </c>
      <c r="O123" s="1">
        <v>45118</v>
      </c>
      <c r="P123" s="2">
        <v>0.60416666666666663</v>
      </c>
      <c r="Q123" t="s">
        <v>10</v>
      </c>
      <c r="R123" t="s">
        <v>19</v>
      </c>
      <c r="S123" t="s">
        <v>559</v>
      </c>
      <c r="T123" t="s">
        <v>456</v>
      </c>
      <c r="U123" s="3">
        <v>3902.73</v>
      </c>
      <c r="V123" s="1">
        <v>45118</v>
      </c>
      <c r="W123" t="s">
        <v>770</v>
      </c>
      <c r="X123" s="1">
        <v>45118</v>
      </c>
      <c r="Y123" s="3">
        <v>3902.73</v>
      </c>
      <c r="Z123" t="s">
        <v>644</v>
      </c>
      <c r="AA123" t="s">
        <v>650</v>
      </c>
    </row>
    <row r="124" spans="1:27" x14ac:dyDescent="0.35">
      <c r="A124" t="s">
        <v>194</v>
      </c>
      <c r="B124" t="s">
        <v>68</v>
      </c>
      <c r="C124" t="str">
        <f>VLOOKUP(B124,patients!$A:$K,2,FALSE)&amp;" "&amp;VLOOKUP('HOSPITAL MANAGEMENT DATA'!B124,patients!$A:$K,3,FALSE)</f>
        <v>David Moore</v>
      </c>
      <c r="D124" t="str">
        <f>VLOOKUP(B124,patients!$A:$K,4,FALSE)</f>
        <v>M</v>
      </c>
      <c r="E124" s="1">
        <f>VLOOKUP(B124,patients!$A:$K,5,FALSE)</f>
        <v>26629</v>
      </c>
      <c r="F124">
        <f>VLOOKUP(B124,patients!$A:$K,6,FALSE)</f>
        <v>7712937941</v>
      </c>
      <c r="G124" t="str">
        <f>VLOOKUP(B124,patients!$A:$K,7,FALSE)</f>
        <v>321 Maple Dr</v>
      </c>
      <c r="H124" s="1">
        <f>VLOOKUP(B124,patients!$A:$K,8,FALSE)</f>
        <v>45091</v>
      </c>
      <c r="I124" t="str">
        <f>VLOOKUP(B124,patients!$A:$K,11,FALSE)</f>
        <v>david.moore@mail.com</v>
      </c>
      <c r="J124" t="s">
        <v>48</v>
      </c>
      <c r="K124" t="str">
        <f>VLOOKUP(J124,doctors!$A:$H,2,FALSE)&amp;" "&amp;VLOOKUP(J124,doctors!$A:$H,3,FALSE)</f>
        <v>Jane Davis</v>
      </c>
      <c r="L124" t="str">
        <f>VLOOKUP(J124,doctors!$A:$H,4,FALSE)</f>
        <v>Pediatrics</v>
      </c>
      <c r="M124">
        <f>VLOOKUP(J124,doctors!$A:$H,5,FALSE)</f>
        <v>9004382050</v>
      </c>
      <c r="N124" t="str">
        <f>VLOOKUP(J124,doctors!$A:$H,7,FALSE)</f>
        <v>Eastside Clinic</v>
      </c>
      <c r="O124" s="1">
        <v>44985</v>
      </c>
      <c r="P124" s="2">
        <v>0.44791666666666669</v>
      </c>
      <c r="Q124" t="s">
        <v>10</v>
      </c>
      <c r="R124" t="s">
        <v>41</v>
      </c>
      <c r="S124" t="s">
        <v>560</v>
      </c>
      <c r="T124" t="s">
        <v>431</v>
      </c>
      <c r="U124" s="3">
        <v>2064.0700000000002</v>
      </c>
      <c r="V124" s="1">
        <v>44985</v>
      </c>
      <c r="W124" t="s">
        <v>771</v>
      </c>
      <c r="X124" s="1">
        <v>44985</v>
      </c>
      <c r="Y124" s="3">
        <v>2064.0700000000002</v>
      </c>
      <c r="Z124" t="s">
        <v>652</v>
      </c>
      <c r="AA124" t="s">
        <v>647</v>
      </c>
    </row>
    <row r="125" spans="1:27" x14ac:dyDescent="0.35">
      <c r="A125" t="s">
        <v>195</v>
      </c>
      <c r="B125" t="s">
        <v>142</v>
      </c>
      <c r="C125" t="str">
        <f>VLOOKUP(B125,patients!$A:$K,2,FALSE)&amp;" "&amp;VLOOKUP('HOSPITAL MANAGEMENT DATA'!B125,patients!$A:$K,3,FALSE)</f>
        <v>Laura Johnson</v>
      </c>
      <c r="D125" t="str">
        <f>VLOOKUP(B125,patients!$A:$K,4,FALSE)</f>
        <v>F</v>
      </c>
      <c r="E125" s="1">
        <f>VLOOKUP(B125,patients!$A:$K,5,FALSE)</f>
        <v>32960</v>
      </c>
      <c r="F125">
        <f>VLOOKUP(B125,patients!$A:$K,6,FALSE)</f>
        <v>9059178882</v>
      </c>
      <c r="G125" t="str">
        <f>VLOOKUP(B125,patients!$A:$K,7,FALSE)</f>
        <v>321 Maple Dr</v>
      </c>
      <c r="H125" s="1">
        <f>VLOOKUP(B125,patients!$A:$K,8,FALSE)</f>
        <v>44553</v>
      </c>
      <c r="I125" t="str">
        <f>VLOOKUP(B125,patients!$A:$K,11,FALSE)</f>
        <v>laura.johnson@mail.com</v>
      </c>
      <c r="J125" t="s">
        <v>54</v>
      </c>
      <c r="K125" t="str">
        <f>VLOOKUP(J125,doctors!$A:$H,2,FALSE)&amp;" "&amp;VLOOKUP(J125,doctors!$A:$H,3,FALSE)</f>
        <v>Linda Brown</v>
      </c>
      <c r="L125" t="str">
        <f>VLOOKUP(J125,doctors!$A:$H,4,FALSE)</f>
        <v>Dermatology</v>
      </c>
      <c r="M125">
        <f>VLOOKUP(J125,doctors!$A:$H,5,FALSE)</f>
        <v>9069162601</v>
      </c>
      <c r="N125" t="str">
        <f>VLOOKUP(J125,doctors!$A:$H,7,FALSE)</f>
        <v>Westside Clinic</v>
      </c>
      <c r="O125" s="1">
        <v>45001</v>
      </c>
      <c r="P125" s="2">
        <v>0.71875</v>
      </c>
      <c r="Q125" t="s">
        <v>26</v>
      </c>
      <c r="R125" t="s">
        <v>19</v>
      </c>
      <c r="S125" t="s">
        <v>561</v>
      </c>
      <c r="T125" t="s">
        <v>431</v>
      </c>
      <c r="U125" s="3">
        <v>3492.1</v>
      </c>
      <c r="V125" s="1">
        <v>45001</v>
      </c>
      <c r="W125" t="s">
        <v>772</v>
      </c>
      <c r="X125" s="1">
        <v>45001</v>
      </c>
      <c r="Y125" s="3">
        <v>3492.1</v>
      </c>
      <c r="Z125" t="s">
        <v>652</v>
      </c>
      <c r="AA125" t="s">
        <v>645</v>
      </c>
    </row>
    <row r="126" spans="1:27" x14ac:dyDescent="0.35">
      <c r="A126" t="s">
        <v>196</v>
      </c>
      <c r="B126" t="s">
        <v>90</v>
      </c>
      <c r="C126" t="str">
        <f>VLOOKUP(B126,patients!$A:$K,2,FALSE)&amp;" "&amp;VLOOKUP('HOSPITAL MANAGEMENT DATA'!B126,patients!$A:$K,3,FALSE)</f>
        <v>Linda Johnson</v>
      </c>
      <c r="D126" t="str">
        <f>VLOOKUP(B126,patients!$A:$K,4,FALSE)</f>
        <v>M</v>
      </c>
      <c r="E126" s="1">
        <f>VLOOKUP(B126,patients!$A:$K,5,FALSE)</f>
        <v>34387</v>
      </c>
      <c r="F126">
        <f>VLOOKUP(B126,patients!$A:$K,6,FALSE)</f>
        <v>6141951830</v>
      </c>
      <c r="G126" t="str">
        <f>VLOOKUP(B126,patients!$A:$K,7,FALSE)</f>
        <v>789 Pine Rd</v>
      </c>
      <c r="H126" s="1">
        <f>VLOOKUP(B126,patients!$A:$K,8,FALSE)</f>
        <v>44557</v>
      </c>
      <c r="I126" t="str">
        <f>VLOOKUP(B126,patients!$A:$K,11,FALSE)</f>
        <v>linda.johnson@mail.com</v>
      </c>
      <c r="J126" t="s">
        <v>32</v>
      </c>
      <c r="K126" t="str">
        <f>VLOOKUP(J126,doctors!$A:$H,2,FALSE)&amp;" "&amp;VLOOKUP(J126,doctors!$A:$H,3,FALSE)</f>
        <v>Robert Davis</v>
      </c>
      <c r="L126" t="str">
        <f>VLOOKUP(J126,doctors!$A:$H,4,FALSE)</f>
        <v>Oncology</v>
      </c>
      <c r="M126">
        <f>VLOOKUP(J126,doctors!$A:$H,5,FALSE)</f>
        <v>8217493115</v>
      </c>
      <c r="N126" t="str">
        <f>VLOOKUP(J126,doctors!$A:$H,7,FALSE)</f>
        <v>Westside Clinic</v>
      </c>
      <c r="O126" s="1">
        <v>44975</v>
      </c>
      <c r="P126" s="2">
        <v>0.42708333333333331</v>
      </c>
      <c r="Q126" t="s">
        <v>29</v>
      </c>
      <c r="R126" t="s">
        <v>41</v>
      </c>
      <c r="S126" t="s">
        <v>562</v>
      </c>
      <c r="T126" t="s">
        <v>444</v>
      </c>
      <c r="U126" s="3">
        <v>4079.52</v>
      </c>
      <c r="V126" s="1">
        <v>44975</v>
      </c>
      <c r="W126" t="s">
        <v>773</v>
      </c>
      <c r="X126" s="1">
        <v>44975</v>
      </c>
      <c r="Y126" s="3">
        <v>4079.52</v>
      </c>
      <c r="Z126" t="s">
        <v>644</v>
      </c>
      <c r="AA126" t="s">
        <v>650</v>
      </c>
    </row>
    <row r="127" spans="1:27" x14ac:dyDescent="0.35">
      <c r="A127" t="s">
        <v>197</v>
      </c>
      <c r="B127" t="s">
        <v>21</v>
      </c>
      <c r="C127" t="str">
        <f>VLOOKUP(B127,patients!$A:$K,2,FALSE)&amp;" "&amp;VLOOKUP('HOSPITAL MANAGEMENT DATA'!B127,patients!$A:$K,3,FALSE)</f>
        <v>Robert Wilson</v>
      </c>
      <c r="D127" t="str">
        <f>VLOOKUP(B127,patients!$A:$K,4,FALSE)</f>
        <v>M</v>
      </c>
      <c r="E127" s="1">
        <f>VLOOKUP(B127,patients!$A:$K,5,FALSE)</f>
        <v>24333</v>
      </c>
      <c r="F127">
        <f>VLOOKUP(B127,patients!$A:$K,6,FALSE)</f>
        <v>7482069727</v>
      </c>
      <c r="G127" t="str">
        <f>VLOOKUP(B127,patients!$A:$K,7,FALSE)</f>
        <v>123 Elm St</v>
      </c>
      <c r="H127" s="1">
        <f>VLOOKUP(B127,patients!$A:$K,8,FALSE)</f>
        <v>44448</v>
      </c>
      <c r="I127" t="str">
        <f>VLOOKUP(B127,patients!$A:$K,11,FALSE)</f>
        <v>robert.wilson@mail.com</v>
      </c>
      <c r="J127" t="s">
        <v>35</v>
      </c>
      <c r="K127" t="str">
        <f>VLOOKUP(J127,doctors!$A:$H,2,FALSE)&amp;" "&amp;VLOOKUP(J127,doctors!$A:$H,3,FALSE)</f>
        <v>Linda Wilson</v>
      </c>
      <c r="L127" t="str">
        <f>VLOOKUP(J127,doctors!$A:$H,4,FALSE)</f>
        <v>Oncology</v>
      </c>
      <c r="M127">
        <f>VLOOKUP(J127,doctors!$A:$H,5,FALSE)</f>
        <v>6176383634</v>
      </c>
      <c r="N127" t="str">
        <f>VLOOKUP(J127,doctors!$A:$H,7,FALSE)</f>
        <v>Eastside Clinic</v>
      </c>
      <c r="O127" s="1">
        <v>45232</v>
      </c>
      <c r="P127" s="2">
        <v>0.40625</v>
      </c>
      <c r="Q127" t="s">
        <v>26</v>
      </c>
      <c r="R127" t="s">
        <v>11</v>
      </c>
      <c r="S127" t="s">
        <v>563</v>
      </c>
      <c r="T127" t="s">
        <v>440</v>
      </c>
      <c r="U127" s="3">
        <v>4672.3</v>
      </c>
      <c r="V127" s="1">
        <v>45232</v>
      </c>
      <c r="W127" t="s">
        <v>774</v>
      </c>
      <c r="X127" s="1">
        <v>45232</v>
      </c>
      <c r="Y127" s="3">
        <v>4672.3</v>
      </c>
      <c r="Z127" t="s">
        <v>652</v>
      </c>
      <c r="AA127" t="s">
        <v>645</v>
      </c>
    </row>
    <row r="128" spans="1:27" x14ac:dyDescent="0.35">
      <c r="A128" t="s">
        <v>198</v>
      </c>
      <c r="B128" t="s">
        <v>125</v>
      </c>
      <c r="C128" t="str">
        <f>VLOOKUP(B128,patients!$A:$K,2,FALSE)&amp;" "&amp;VLOOKUP('HOSPITAL MANAGEMENT DATA'!B128,patients!$A:$K,3,FALSE)</f>
        <v>David Wilson</v>
      </c>
      <c r="D128" t="str">
        <f>VLOOKUP(B128,patients!$A:$K,4,FALSE)</f>
        <v>F</v>
      </c>
      <c r="E128" s="1">
        <f>VLOOKUP(B128,patients!$A:$K,5,FALSE)</f>
        <v>34072</v>
      </c>
      <c r="F128">
        <f>VLOOKUP(B128,patients!$A:$K,6,FALSE)</f>
        <v>7039619487</v>
      </c>
      <c r="G128" t="str">
        <f>VLOOKUP(B128,patients!$A:$K,7,FALSE)</f>
        <v>123 Elm St</v>
      </c>
      <c r="H128" s="1">
        <f>VLOOKUP(B128,patients!$A:$K,8,FALSE)</f>
        <v>45116</v>
      </c>
      <c r="I128" t="str">
        <f>VLOOKUP(B128,patients!$A:$K,11,FALSE)</f>
        <v>david.wilson@mail.com</v>
      </c>
      <c r="J128" t="s">
        <v>35</v>
      </c>
      <c r="K128" t="str">
        <f>VLOOKUP(J128,doctors!$A:$H,2,FALSE)&amp;" "&amp;VLOOKUP(J128,doctors!$A:$H,3,FALSE)</f>
        <v>Linda Wilson</v>
      </c>
      <c r="L128" t="str">
        <f>VLOOKUP(J128,doctors!$A:$H,4,FALSE)</f>
        <v>Oncology</v>
      </c>
      <c r="M128">
        <f>VLOOKUP(J128,doctors!$A:$H,5,FALSE)</f>
        <v>6176383634</v>
      </c>
      <c r="N128" t="str">
        <f>VLOOKUP(J128,doctors!$A:$H,7,FALSE)</f>
        <v>Eastside Clinic</v>
      </c>
      <c r="O128" s="1">
        <v>45243</v>
      </c>
      <c r="P128" s="2">
        <v>0.35416666666666669</v>
      </c>
      <c r="Q128" t="s">
        <v>29</v>
      </c>
      <c r="R128" t="s">
        <v>15</v>
      </c>
      <c r="S128" t="s">
        <v>564</v>
      </c>
      <c r="T128" t="s">
        <v>444</v>
      </c>
      <c r="U128" s="3">
        <v>1555.89</v>
      </c>
      <c r="V128" s="1">
        <v>45243</v>
      </c>
      <c r="W128" t="s">
        <v>775</v>
      </c>
      <c r="X128" s="1">
        <v>45243</v>
      </c>
      <c r="Y128" s="3">
        <v>1555.89</v>
      </c>
      <c r="Z128" t="s">
        <v>652</v>
      </c>
      <c r="AA128" t="s">
        <v>645</v>
      </c>
    </row>
    <row r="129" spans="1:27" x14ac:dyDescent="0.35">
      <c r="A129" t="s">
        <v>199</v>
      </c>
      <c r="B129" t="s">
        <v>161</v>
      </c>
      <c r="C129" t="str">
        <f>VLOOKUP(B129,patients!$A:$K,2,FALSE)&amp;" "&amp;VLOOKUP('HOSPITAL MANAGEMENT DATA'!B129,patients!$A:$K,3,FALSE)</f>
        <v>Robert Williams</v>
      </c>
      <c r="D129" t="str">
        <f>VLOOKUP(B129,patients!$A:$K,4,FALSE)</f>
        <v>M</v>
      </c>
      <c r="E129" s="1">
        <f>VLOOKUP(B129,patients!$A:$K,5,FALSE)</f>
        <v>18798</v>
      </c>
      <c r="F129">
        <f>VLOOKUP(B129,patients!$A:$K,6,FALSE)</f>
        <v>7020645498</v>
      </c>
      <c r="G129" t="str">
        <f>VLOOKUP(B129,patients!$A:$K,7,FALSE)</f>
        <v>456 Oak Ave</v>
      </c>
      <c r="H129" s="1">
        <f>VLOOKUP(B129,patients!$A:$K,8,FALSE)</f>
        <v>44758</v>
      </c>
      <c r="I129" t="str">
        <f>VLOOKUP(B129,patients!$A:$K,11,FALSE)</f>
        <v>robert.williams@mail.com</v>
      </c>
      <c r="J129" t="s">
        <v>48</v>
      </c>
      <c r="K129" t="str">
        <f>VLOOKUP(J129,doctors!$A:$H,2,FALSE)&amp;" "&amp;VLOOKUP(J129,doctors!$A:$H,3,FALSE)</f>
        <v>Jane Davis</v>
      </c>
      <c r="L129" t="str">
        <f>VLOOKUP(J129,doctors!$A:$H,4,FALSE)</f>
        <v>Pediatrics</v>
      </c>
      <c r="M129">
        <f>VLOOKUP(J129,doctors!$A:$H,5,FALSE)</f>
        <v>9004382050</v>
      </c>
      <c r="N129" t="str">
        <f>VLOOKUP(J129,doctors!$A:$H,7,FALSE)</f>
        <v>Eastside Clinic</v>
      </c>
      <c r="O129" s="1">
        <v>45031</v>
      </c>
      <c r="P129" s="2">
        <v>0.61458333333333337</v>
      </c>
      <c r="Q129" t="s">
        <v>38</v>
      </c>
      <c r="R129" t="s">
        <v>41</v>
      </c>
      <c r="S129" t="s">
        <v>565</v>
      </c>
      <c r="T129" t="s">
        <v>434</v>
      </c>
      <c r="U129" s="3">
        <v>2296.92</v>
      </c>
      <c r="V129" s="1">
        <v>45031</v>
      </c>
      <c r="W129" t="s">
        <v>776</v>
      </c>
      <c r="X129" s="1">
        <v>45031</v>
      </c>
      <c r="Y129" s="3">
        <v>2296.92</v>
      </c>
      <c r="Z129" t="s">
        <v>652</v>
      </c>
      <c r="AA129" t="s">
        <v>645</v>
      </c>
    </row>
    <row r="130" spans="1:27" x14ac:dyDescent="0.35">
      <c r="A130" t="s">
        <v>200</v>
      </c>
      <c r="B130" t="s">
        <v>70</v>
      </c>
      <c r="C130" t="str">
        <f>VLOOKUP(B130,patients!$A:$K,2,FALSE)&amp;" "&amp;VLOOKUP('HOSPITAL MANAGEMENT DATA'!B130,patients!$A:$K,3,FALSE)</f>
        <v>Emily Moore</v>
      </c>
      <c r="D130" t="str">
        <f>VLOOKUP(B130,patients!$A:$K,4,FALSE)</f>
        <v>M</v>
      </c>
      <c r="E130" s="1">
        <f>VLOOKUP(B130,patients!$A:$K,5,FALSE)</f>
        <v>23734</v>
      </c>
      <c r="F130">
        <f>VLOOKUP(B130,patients!$A:$K,6,FALSE)</f>
        <v>6622318721</v>
      </c>
      <c r="G130" t="str">
        <f>VLOOKUP(B130,patients!$A:$K,7,FALSE)</f>
        <v>456 Oak Ave</v>
      </c>
      <c r="H130" s="1">
        <f>VLOOKUP(B130,patients!$A:$K,8,FALSE)</f>
        <v>44415</v>
      </c>
      <c r="I130" t="str">
        <f>VLOOKUP(B130,patients!$A:$K,11,FALSE)</f>
        <v>emily.moore@mail.com</v>
      </c>
      <c r="J130" t="s">
        <v>22</v>
      </c>
      <c r="K130" t="str">
        <f>VLOOKUP(J130,doctors!$A:$H,2,FALSE)&amp;" "&amp;VLOOKUP(J130,doctors!$A:$H,3,FALSE)</f>
        <v>Alex Davis</v>
      </c>
      <c r="L130" t="str">
        <f>VLOOKUP(J130,doctors!$A:$H,4,FALSE)</f>
        <v>Pediatrics</v>
      </c>
      <c r="M130">
        <f>VLOOKUP(J130,doctors!$A:$H,5,FALSE)</f>
        <v>6570137231</v>
      </c>
      <c r="N130" t="str">
        <f>VLOOKUP(J130,doctors!$A:$H,7,FALSE)</f>
        <v>Central Hospital</v>
      </c>
      <c r="O130" s="1">
        <v>45163</v>
      </c>
      <c r="P130" s="2">
        <v>0.39583333333333331</v>
      </c>
      <c r="Q130" t="s">
        <v>29</v>
      </c>
      <c r="R130" t="s">
        <v>19</v>
      </c>
      <c r="S130" t="s">
        <v>566</v>
      </c>
      <c r="T130" t="s">
        <v>456</v>
      </c>
      <c r="U130" s="3">
        <v>1185.8699999999999</v>
      </c>
      <c r="V130" s="1">
        <v>45163</v>
      </c>
      <c r="W130" t="s">
        <v>777</v>
      </c>
      <c r="X130" s="1">
        <v>45163</v>
      </c>
      <c r="Y130" s="3">
        <v>1185.8699999999999</v>
      </c>
      <c r="Z130" t="s">
        <v>644</v>
      </c>
      <c r="AA130" t="s">
        <v>645</v>
      </c>
    </row>
    <row r="131" spans="1:27" x14ac:dyDescent="0.35">
      <c r="A131" t="s">
        <v>201</v>
      </c>
      <c r="B131" t="s">
        <v>151</v>
      </c>
      <c r="C131" t="str">
        <f>VLOOKUP(B131,patients!$A:$K,2,FALSE)&amp;" "&amp;VLOOKUP('HOSPITAL MANAGEMENT DATA'!B131,patients!$A:$K,3,FALSE)</f>
        <v>Jane Jones</v>
      </c>
      <c r="D131" t="str">
        <f>VLOOKUP(B131,patients!$A:$K,4,FALSE)</f>
        <v>M</v>
      </c>
      <c r="E131" s="1">
        <f>VLOOKUP(B131,patients!$A:$K,5,FALSE)</f>
        <v>33359</v>
      </c>
      <c r="F131">
        <f>VLOOKUP(B131,patients!$A:$K,6,FALSE)</f>
        <v>6158428240</v>
      </c>
      <c r="G131" t="str">
        <f>VLOOKUP(B131,patients!$A:$K,7,FALSE)</f>
        <v>456 Oak Ave</v>
      </c>
      <c r="H131" s="1">
        <f>VLOOKUP(B131,patients!$A:$K,8,FALSE)</f>
        <v>44830</v>
      </c>
      <c r="I131" t="str">
        <f>VLOOKUP(B131,patients!$A:$K,11,FALSE)</f>
        <v>jane.jones@mail.com</v>
      </c>
      <c r="J131" t="s">
        <v>22</v>
      </c>
      <c r="K131" t="str">
        <f>VLOOKUP(J131,doctors!$A:$H,2,FALSE)&amp;" "&amp;VLOOKUP(J131,doctors!$A:$H,3,FALSE)</f>
        <v>Alex Davis</v>
      </c>
      <c r="L131" t="str">
        <f>VLOOKUP(J131,doctors!$A:$H,4,FALSE)</f>
        <v>Pediatrics</v>
      </c>
      <c r="M131">
        <f>VLOOKUP(J131,doctors!$A:$H,5,FALSE)</f>
        <v>6570137231</v>
      </c>
      <c r="N131" t="str">
        <f>VLOOKUP(J131,doctors!$A:$H,7,FALSE)</f>
        <v>Central Hospital</v>
      </c>
      <c r="O131" s="1">
        <v>44980</v>
      </c>
      <c r="P131" s="2">
        <v>0.625</v>
      </c>
      <c r="Q131" t="s">
        <v>26</v>
      </c>
      <c r="R131" t="s">
        <v>15</v>
      </c>
      <c r="S131" t="s">
        <v>567</v>
      </c>
      <c r="T131" t="s">
        <v>434</v>
      </c>
      <c r="U131" s="3">
        <v>4966.18</v>
      </c>
      <c r="V131" s="1">
        <v>44980</v>
      </c>
      <c r="W131" t="s">
        <v>778</v>
      </c>
      <c r="X131" s="1">
        <v>44980</v>
      </c>
      <c r="Y131" s="3">
        <v>4966.18</v>
      </c>
      <c r="Z131" t="s">
        <v>644</v>
      </c>
      <c r="AA131" t="s">
        <v>650</v>
      </c>
    </row>
    <row r="132" spans="1:27" x14ac:dyDescent="0.35">
      <c r="A132" t="s">
        <v>202</v>
      </c>
      <c r="B132" t="s">
        <v>68</v>
      </c>
      <c r="C132" t="str">
        <f>VLOOKUP(B132,patients!$A:$K,2,FALSE)&amp;" "&amp;VLOOKUP('HOSPITAL MANAGEMENT DATA'!B132,patients!$A:$K,3,FALSE)</f>
        <v>David Moore</v>
      </c>
      <c r="D132" t="str">
        <f>VLOOKUP(B132,patients!$A:$K,4,FALSE)</f>
        <v>M</v>
      </c>
      <c r="E132" s="1">
        <f>VLOOKUP(B132,patients!$A:$K,5,FALSE)</f>
        <v>26629</v>
      </c>
      <c r="F132">
        <f>VLOOKUP(B132,patients!$A:$K,6,FALSE)</f>
        <v>7712937941</v>
      </c>
      <c r="G132" t="str">
        <f>VLOOKUP(B132,patients!$A:$K,7,FALSE)</f>
        <v>321 Maple Dr</v>
      </c>
      <c r="H132" s="1">
        <f>VLOOKUP(B132,patients!$A:$K,8,FALSE)</f>
        <v>45091</v>
      </c>
      <c r="I132" t="str">
        <f>VLOOKUP(B132,patients!$A:$K,11,FALSE)</f>
        <v>david.moore@mail.com</v>
      </c>
      <c r="J132" t="s">
        <v>25</v>
      </c>
      <c r="K132" t="str">
        <f>VLOOKUP(J132,doctors!$A:$H,2,FALSE)&amp;" "&amp;VLOOKUP(J132,doctors!$A:$H,3,FALSE)</f>
        <v>Jane Smith</v>
      </c>
      <c r="L132" t="str">
        <f>VLOOKUP(J132,doctors!$A:$H,4,FALSE)</f>
        <v>Pediatrics</v>
      </c>
      <c r="M132">
        <f>VLOOKUP(J132,doctors!$A:$H,5,FALSE)</f>
        <v>8737740598</v>
      </c>
      <c r="N132" t="str">
        <f>VLOOKUP(J132,doctors!$A:$H,7,FALSE)</f>
        <v>Eastside Clinic</v>
      </c>
      <c r="O132" s="1">
        <v>45057</v>
      </c>
      <c r="P132" s="2">
        <v>0.6875</v>
      </c>
      <c r="Q132" t="s">
        <v>10</v>
      </c>
      <c r="R132" t="s">
        <v>15</v>
      </c>
      <c r="S132" t="s">
        <v>568</v>
      </c>
      <c r="T132" t="s">
        <v>431</v>
      </c>
      <c r="U132" s="3">
        <v>4671.5</v>
      </c>
      <c r="V132" s="1">
        <v>45057</v>
      </c>
      <c r="W132" t="s">
        <v>779</v>
      </c>
      <c r="X132" s="1">
        <v>45057</v>
      </c>
      <c r="Y132" s="3">
        <v>4671.5</v>
      </c>
      <c r="Z132" t="s">
        <v>652</v>
      </c>
      <c r="AA132" t="s">
        <v>650</v>
      </c>
    </row>
    <row r="133" spans="1:27" x14ac:dyDescent="0.35">
      <c r="A133" t="s">
        <v>203</v>
      </c>
      <c r="B133" t="s">
        <v>119</v>
      </c>
      <c r="C133" t="str">
        <f>VLOOKUP(B133,patients!$A:$K,2,FALSE)&amp;" "&amp;VLOOKUP('HOSPITAL MANAGEMENT DATA'!B133,patients!$A:$K,3,FALSE)</f>
        <v>Jane Moore</v>
      </c>
      <c r="D133" t="str">
        <f>VLOOKUP(B133,patients!$A:$K,4,FALSE)</f>
        <v>F</v>
      </c>
      <c r="E133" s="1">
        <f>VLOOKUP(B133,patients!$A:$K,5,FALSE)</f>
        <v>37778</v>
      </c>
      <c r="F133">
        <f>VLOOKUP(B133,patients!$A:$K,6,FALSE)</f>
        <v>8158989953</v>
      </c>
      <c r="G133" t="str">
        <f>VLOOKUP(B133,patients!$A:$K,7,FALSE)</f>
        <v>789 Pine Rd</v>
      </c>
      <c r="H133" s="1">
        <f>VLOOKUP(B133,patients!$A:$K,8,FALSE)</f>
        <v>44654</v>
      </c>
      <c r="I133" t="str">
        <f>VLOOKUP(B133,patients!$A:$K,11,FALSE)</f>
        <v>jane.moore@mail.com</v>
      </c>
      <c r="J133" t="s">
        <v>48</v>
      </c>
      <c r="K133" t="str">
        <f>VLOOKUP(J133,doctors!$A:$H,2,FALSE)&amp;" "&amp;VLOOKUP(J133,doctors!$A:$H,3,FALSE)</f>
        <v>Jane Davis</v>
      </c>
      <c r="L133" t="str">
        <f>VLOOKUP(J133,doctors!$A:$H,4,FALSE)</f>
        <v>Pediatrics</v>
      </c>
      <c r="M133">
        <f>VLOOKUP(J133,doctors!$A:$H,5,FALSE)</f>
        <v>9004382050</v>
      </c>
      <c r="N133" t="str">
        <f>VLOOKUP(J133,doctors!$A:$H,7,FALSE)</f>
        <v>Eastside Clinic</v>
      </c>
      <c r="O133" s="1">
        <v>45133</v>
      </c>
      <c r="P133" s="2">
        <v>0.44791666666666669</v>
      </c>
      <c r="Q133" t="s">
        <v>29</v>
      </c>
      <c r="R133" t="s">
        <v>19</v>
      </c>
      <c r="S133" t="s">
        <v>569</v>
      </c>
      <c r="T133" t="s">
        <v>444</v>
      </c>
      <c r="U133" s="3">
        <v>2929.81</v>
      </c>
      <c r="V133" s="1">
        <v>45133</v>
      </c>
      <c r="W133" t="s">
        <v>780</v>
      </c>
      <c r="X133" s="1">
        <v>45133</v>
      </c>
      <c r="Y133" s="3">
        <v>2929.81</v>
      </c>
      <c r="Z133" t="s">
        <v>652</v>
      </c>
      <c r="AA133" t="s">
        <v>650</v>
      </c>
    </row>
    <row r="134" spans="1:27" x14ac:dyDescent="0.35">
      <c r="A134" t="s">
        <v>204</v>
      </c>
      <c r="B134" t="s">
        <v>17</v>
      </c>
      <c r="C134" t="str">
        <f>VLOOKUP(B134,patients!$A:$K,2,FALSE)&amp;" "&amp;VLOOKUP('HOSPITAL MANAGEMENT DATA'!B134,patients!$A:$K,3,FALSE)</f>
        <v>Emily Miller</v>
      </c>
      <c r="D134" t="str">
        <f>VLOOKUP(B134,patients!$A:$K,4,FALSE)</f>
        <v>M</v>
      </c>
      <c r="E134" s="1">
        <f>VLOOKUP(B134,patients!$A:$K,5,FALSE)</f>
        <v>30399</v>
      </c>
      <c r="F134">
        <f>VLOOKUP(B134,patients!$A:$K,6,FALSE)</f>
        <v>8720989381</v>
      </c>
      <c r="G134" t="str">
        <f>VLOOKUP(B134,patients!$A:$K,7,FALSE)</f>
        <v>123 Elm St</v>
      </c>
      <c r="H134" s="1">
        <f>VLOOKUP(B134,patients!$A:$K,8,FALSE)</f>
        <v>45096</v>
      </c>
      <c r="I134" t="str">
        <f>VLOOKUP(B134,patients!$A:$K,11,FALSE)</f>
        <v>emily.miller@mail.com</v>
      </c>
      <c r="J134" t="s">
        <v>59</v>
      </c>
      <c r="K134" t="str">
        <f>VLOOKUP(J134,doctors!$A:$H,2,FALSE)&amp;" "&amp;VLOOKUP(J134,doctors!$A:$H,3,FALSE)</f>
        <v>David Taylor</v>
      </c>
      <c r="L134" t="str">
        <f>VLOOKUP(J134,doctors!$A:$H,4,FALSE)</f>
        <v>Dermatology</v>
      </c>
      <c r="M134">
        <f>VLOOKUP(J134,doctors!$A:$H,5,FALSE)</f>
        <v>8322010158</v>
      </c>
      <c r="N134" t="str">
        <f>VLOOKUP(J134,doctors!$A:$H,7,FALSE)</f>
        <v>Westside Clinic</v>
      </c>
      <c r="O134" s="1">
        <v>45008</v>
      </c>
      <c r="P134" s="2">
        <v>0.60416666666666663</v>
      </c>
      <c r="Q134" t="s">
        <v>29</v>
      </c>
      <c r="R134" t="s">
        <v>41</v>
      </c>
      <c r="S134" t="s">
        <v>570</v>
      </c>
      <c r="T134" t="s">
        <v>444</v>
      </c>
      <c r="U134" s="3">
        <v>4289.1499999999996</v>
      </c>
      <c r="V134" s="1">
        <v>45008</v>
      </c>
      <c r="W134" t="s">
        <v>781</v>
      </c>
      <c r="X134" s="1">
        <v>45008</v>
      </c>
      <c r="Y134" s="3">
        <v>4289.1499999999996</v>
      </c>
      <c r="Z134" t="s">
        <v>644</v>
      </c>
      <c r="AA134" t="s">
        <v>647</v>
      </c>
    </row>
    <row r="135" spans="1:27" x14ac:dyDescent="0.35">
      <c r="A135" t="s">
        <v>205</v>
      </c>
      <c r="B135" t="s">
        <v>21</v>
      </c>
      <c r="C135" t="str">
        <f>VLOOKUP(B135,patients!$A:$K,2,FALSE)&amp;" "&amp;VLOOKUP('HOSPITAL MANAGEMENT DATA'!B135,patients!$A:$K,3,FALSE)</f>
        <v>Robert Wilson</v>
      </c>
      <c r="D135" t="str">
        <f>VLOOKUP(B135,patients!$A:$K,4,FALSE)</f>
        <v>M</v>
      </c>
      <c r="E135" s="1">
        <f>VLOOKUP(B135,patients!$A:$K,5,FALSE)</f>
        <v>24333</v>
      </c>
      <c r="F135">
        <f>VLOOKUP(B135,patients!$A:$K,6,FALSE)</f>
        <v>7482069727</v>
      </c>
      <c r="G135" t="str">
        <f>VLOOKUP(B135,patients!$A:$K,7,FALSE)</f>
        <v>123 Elm St</v>
      </c>
      <c r="H135" s="1">
        <f>VLOOKUP(B135,patients!$A:$K,8,FALSE)</f>
        <v>44448</v>
      </c>
      <c r="I135" t="str">
        <f>VLOOKUP(B135,patients!$A:$K,11,FALSE)</f>
        <v>robert.wilson@mail.com</v>
      </c>
      <c r="J135" t="s">
        <v>22</v>
      </c>
      <c r="K135" t="str">
        <f>VLOOKUP(J135,doctors!$A:$H,2,FALSE)&amp;" "&amp;VLOOKUP(J135,doctors!$A:$H,3,FALSE)</f>
        <v>Alex Davis</v>
      </c>
      <c r="L135" t="str">
        <f>VLOOKUP(J135,doctors!$A:$H,4,FALSE)</f>
        <v>Pediatrics</v>
      </c>
      <c r="M135">
        <f>VLOOKUP(J135,doctors!$A:$H,5,FALSE)</f>
        <v>6570137231</v>
      </c>
      <c r="N135" t="str">
        <f>VLOOKUP(J135,doctors!$A:$H,7,FALSE)</f>
        <v>Central Hospital</v>
      </c>
      <c r="O135" s="1">
        <v>45216</v>
      </c>
      <c r="P135" s="2">
        <v>0.63541666666666663</v>
      </c>
      <c r="Q135" t="s">
        <v>18</v>
      </c>
      <c r="R135" t="s">
        <v>11</v>
      </c>
      <c r="S135" t="s">
        <v>571</v>
      </c>
      <c r="T135" t="s">
        <v>444</v>
      </c>
      <c r="U135" s="3">
        <v>2844.31</v>
      </c>
      <c r="V135" s="1">
        <v>45216</v>
      </c>
      <c r="W135" t="s">
        <v>782</v>
      </c>
      <c r="X135" s="1">
        <v>45216</v>
      </c>
      <c r="Y135" s="3">
        <v>2844.31</v>
      </c>
      <c r="Z135" t="s">
        <v>644</v>
      </c>
      <c r="AA135" t="s">
        <v>650</v>
      </c>
    </row>
    <row r="136" spans="1:27" x14ac:dyDescent="0.35">
      <c r="A136" t="s">
        <v>206</v>
      </c>
      <c r="B136" t="s">
        <v>43</v>
      </c>
      <c r="C136" t="str">
        <f>VLOOKUP(B136,patients!$A:$K,2,FALSE)&amp;" "&amp;VLOOKUP('HOSPITAL MANAGEMENT DATA'!B136,patients!$A:$K,3,FALSE)</f>
        <v>John Brown</v>
      </c>
      <c r="D136" t="str">
        <f>VLOOKUP(B136,patients!$A:$K,4,FALSE)</f>
        <v>M</v>
      </c>
      <c r="E136" s="1">
        <f>VLOOKUP(B136,patients!$A:$K,5,FALSE)</f>
        <v>20219</v>
      </c>
      <c r="F136">
        <f>VLOOKUP(B136,patients!$A:$K,6,FALSE)</f>
        <v>6221099573</v>
      </c>
      <c r="G136" t="str">
        <f>VLOOKUP(B136,patients!$A:$K,7,FALSE)</f>
        <v>321 Maple Dr</v>
      </c>
      <c r="H136" s="1">
        <f>VLOOKUP(B136,patients!$A:$K,8,FALSE)</f>
        <v>44327</v>
      </c>
      <c r="I136" t="str">
        <f>VLOOKUP(B136,patients!$A:$K,11,FALSE)</f>
        <v>john.brown@mail.com</v>
      </c>
      <c r="J136" t="s">
        <v>74</v>
      </c>
      <c r="K136" t="str">
        <f>VLOOKUP(J136,doctors!$A:$H,2,FALSE)&amp;" "&amp;VLOOKUP(J136,doctors!$A:$H,3,FALSE)</f>
        <v>Sarah Taylor</v>
      </c>
      <c r="L136" t="str">
        <f>VLOOKUP(J136,doctors!$A:$H,4,FALSE)</f>
        <v>Dermatology</v>
      </c>
      <c r="M136">
        <f>VLOOKUP(J136,doctors!$A:$H,5,FALSE)</f>
        <v>9118538547</v>
      </c>
      <c r="N136" t="str">
        <f>VLOOKUP(J136,doctors!$A:$H,7,FALSE)</f>
        <v>Central Hospital</v>
      </c>
      <c r="O136" s="1">
        <v>45178</v>
      </c>
      <c r="P136" s="2">
        <v>0.6875</v>
      </c>
      <c r="Q136" t="s">
        <v>10</v>
      </c>
      <c r="R136" t="s">
        <v>11</v>
      </c>
      <c r="S136" t="s">
        <v>572</v>
      </c>
      <c r="T136" t="s">
        <v>434</v>
      </c>
      <c r="U136" s="3">
        <v>3306.14</v>
      </c>
      <c r="V136" s="1">
        <v>45178</v>
      </c>
      <c r="W136" t="s">
        <v>783</v>
      </c>
      <c r="X136" s="1">
        <v>45178</v>
      </c>
      <c r="Y136" s="3">
        <v>3306.14</v>
      </c>
      <c r="Z136" t="s">
        <v>652</v>
      </c>
      <c r="AA136" t="s">
        <v>645</v>
      </c>
    </row>
    <row r="137" spans="1:27" x14ac:dyDescent="0.35">
      <c r="A137" t="s">
        <v>207</v>
      </c>
      <c r="B137" t="s">
        <v>142</v>
      </c>
      <c r="C137" t="str">
        <f>VLOOKUP(B137,patients!$A:$K,2,FALSE)&amp;" "&amp;VLOOKUP('HOSPITAL MANAGEMENT DATA'!B137,patients!$A:$K,3,FALSE)</f>
        <v>Laura Johnson</v>
      </c>
      <c r="D137" t="str">
        <f>VLOOKUP(B137,patients!$A:$K,4,FALSE)</f>
        <v>F</v>
      </c>
      <c r="E137" s="1">
        <f>VLOOKUP(B137,patients!$A:$K,5,FALSE)</f>
        <v>32960</v>
      </c>
      <c r="F137">
        <f>VLOOKUP(B137,patients!$A:$K,6,FALSE)</f>
        <v>9059178882</v>
      </c>
      <c r="G137" t="str">
        <f>VLOOKUP(B137,patients!$A:$K,7,FALSE)</f>
        <v>321 Maple Dr</v>
      </c>
      <c r="H137" s="1">
        <f>VLOOKUP(B137,patients!$A:$K,8,FALSE)</f>
        <v>44553</v>
      </c>
      <c r="I137" t="str">
        <f>VLOOKUP(B137,patients!$A:$K,11,FALSE)</f>
        <v>laura.johnson@mail.com</v>
      </c>
      <c r="J137" t="s">
        <v>9</v>
      </c>
      <c r="K137" t="str">
        <f>VLOOKUP(J137,doctors!$A:$H,2,FALSE)&amp;" "&amp;VLOOKUP(J137,doctors!$A:$H,3,FALSE)</f>
        <v>Sarah Smith</v>
      </c>
      <c r="L137" t="str">
        <f>VLOOKUP(J137,doctors!$A:$H,4,FALSE)</f>
        <v>Pediatrics</v>
      </c>
      <c r="M137">
        <f>VLOOKUP(J137,doctors!$A:$H,5,FALSE)</f>
        <v>7387087517</v>
      </c>
      <c r="N137" t="str">
        <f>VLOOKUP(J137,doctors!$A:$H,7,FALSE)</f>
        <v>Central Hospital</v>
      </c>
      <c r="O137" s="1">
        <v>45059</v>
      </c>
      <c r="P137" s="2">
        <v>0.52083333333333337</v>
      </c>
      <c r="Q137" t="s">
        <v>38</v>
      </c>
      <c r="R137" t="s">
        <v>41</v>
      </c>
      <c r="S137" t="s">
        <v>573</v>
      </c>
      <c r="T137" t="s">
        <v>431</v>
      </c>
      <c r="U137" s="3">
        <v>901.06</v>
      </c>
      <c r="V137" s="1">
        <v>45059</v>
      </c>
      <c r="W137" t="s">
        <v>784</v>
      </c>
      <c r="X137" s="1">
        <v>45059</v>
      </c>
      <c r="Y137" s="3">
        <v>901.06</v>
      </c>
      <c r="Z137" t="s">
        <v>652</v>
      </c>
      <c r="AA137" t="s">
        <v>650</v>
      </c>
    </row>
    <row r="138" spans="1:27" x14ac:dyDescent="0.35">
      <c r="A138" t="s">
        <v>208</v>
      </c>
      <c r="B138" t="s">
        <v>100</v>
      </c>
      <c r="C138" t="str">
        <f>VLOOKUP(B138,patients!$A:$K,2,FALSE)&amp;" "&amp;VLOOKUP('HOSPITAL MANAGEMENT DATA'!B138,patients!$A:$K,3,FALSE)</f>
        <v>Sarah Miller</v>
      </c>
      <c r="D138" t="str">
        <f>VLOOKUP(B138,patients!$A:$K,4,FALSE)</f>
        <v>M</v>
      </c>
      <c r="E138" s="1">
        <f>VLOOKUP(B138,patients!$A:$K,5,FALSE)</f>
        <v>27538</v>
      </c>
      <c r="F138">
        <f>VLOOKUP(B138,patients!$A:$K,6,FALSE)</f>
        <v>8618058864</v>
      </c>
      <c r="G138" t="str">
        <f>VLOOKUP(B138,patients!$A:$K,7,FALSE)</f>
        <v>789 Pine Rd</v>
      </c>
      <c r="H138" s="1">
        <f>VLOOKUP(B138,patients!$A:$K,8,FALSE)</f>
        <v>45101</v>
      </c>
      <c r="I138" t="str">
        <f>VLOOKUP(B138,patients!$A:$K,11,FALSE)</f>
        <v>sarah.miller@mail.com</v>
      </c>
      <c r="J138" t="s">
        <v>59</v>
      </c>
      <c r="K138" t="str">
        <f>VLOOKUP(J138,doctors!$A:$H,2,FALSE)&amp;" "&amp;VLOOKUP(J138,doctors!$A:$H,3,FALSE)</f>
        <v>David Taylor</v>
      </c>
      <c r="L138" t="str">
        <f>VLOOKUP(J138,doctors!$A:$H,4,FALSE)</f>
        <v>Dermatology</v>
      </c>
      <c r="M138">
        <f>VLOOKUP(J138,doctors!$A:$H,5,FALSE)</f>
        <v>8322010158</v>
      </c>
      <c r="N138" t="str">
        <f>VLOOKUP(J138,doctors!$A:$H,7,FALSE)</f>
        <v>Westside Clinic</v>
      </c>
      <c r="O138" s="1">
        <v>45224</v>
      </c>
      <c r="P138" s="2">
        <v>0.41666666666666669</v>
      </c>
      <c r="Q138" t="s">
        <v>26</v>
      </c>
      <c r="R138" t="s">
        <v>15</v>
      </c>
      <c r="S138" t="s">
        <v>574</v>
      </c>
      <c r="T138" t="s">
        <v>456</v>
      </c>
      <c r="U138" s="3">
        <v>3898.72</v>
      </c>
      <c r="V138" s="1">
        <v>45224</v>
      </c>
      <c r="W138" t="s">
        <v>785</v>
      </c>
      <c r="X138" s="1">
        <v>45224</v>
      </c>
      <c r="Y138" s="3">
        <v>3898.72</v>
      </c>
      <c r="Z138" t="s">
        <v>652</v>
      </c>
      <c r="AA138" t="s">
        <v>645</v>
      </c>
    </row>
    <row r="139" spans="1:27" x14ac:dyDescent="0.35">
      <c r="A139" t="s">
        <v>209</v>
      </c>
      <c r="B139" t="s">
        <v>68</v>
      </c>
      <c r="C139" t="str">
        <f>VLOOKUP(B139,patients!$A:$K,2,FALSE)&amp;" "&amp;VLOOKUP('HOSPITAL MANAGEMENT DATA'!B139,patients!$A:$K,3,FALSE)</f>
        <v>David Moore</v>
      </c>
      <c r="D139" t="str">
        <f>VLOOKUP(B139,patients!$A:$K,4,FALSE)</f>
        <v>M</v>
      </c>
      <c r="E139" s="1">
        <f>VLOOKUP(B139,patients!$A:$K,5,FALSE)</f>
        <v>26629</v>
      </c>
      <c r="F139">
        <f>VLOOKUP(B139,patients!$A:$K,6,FALSE)</f>
        <v>7712937941</v>
      </c>
      <c r="G139" t="str">
        <f>VLOOKUP(B139,patients!$A:$K,7,FALSE)</f>
        <v>321 Maple Dr</v>
      </c>
      <c r="H139" s="1">
        <f>VLOOKUP(B139,patients!$A:$K,8,FALSE)</f>
        <v>45091</v>
      </c>
      <c r="I139" t="str">
        <f>VLOOKUP(B139,patients!$A:$K,11,FALSE)</f>
        <v>david.moore@mail.com</v>
      </c>
      <c r="J139" t="s">
        <v>32</v>
      </c>
      <c r="K139" t="str">
        <f>VLOOKUP(J139,doctors!$A:$H,2,FALSE)&amp;" "&amp;VLOOKUP(J139,doctors!$A:$H,3,FALSE)</f>
        <v>Robert Davis</v>
      </c>
      <c r="L139" t="str">
        <f>VLOOKUP(J139,doctors!$A:$H,4,FALSE)</f>
        <v>Oncology</v>
      </c>
      <c r="M139">
        <f>VLOOKUP(J139,doctors!$A:$H,5,FALSE)</f>
        <v>8217493115</v>
      </c>
      <c r="N139" t="str">
        <f>VLOOKUP(J139,doctors!$A:$H,7,FALSE)</f>
        <v>Westside Clinic</v>
      </c>
      <c r="O139" s="1">
        <v>45286</v>
      </c>
      <c r="P139" s="2">
        <v>0.63541666666666663</v>
      </c>
      <c r="Q139" t="s">
        <v>38</v>
      </c>
      <c r="R139" t="s">
        <v>15</v>
      </c>
      <c r="S139" t="s">
        <v>575</v>
      </c>
      <c r="T139" t="s">
        <v>456</v>
      </c>
      <c r="U139" s="3">
        <v>1074.71</v>
      </c>
      <c r="V139" s="1">
        <v>45286</v>
      </c>
      <c r="W139" t="s">
        <v>786</v>
      </c>
      <c r="X139" s="1">
        <v>45286</v>
      </c>
      <c r="Y139" s="3">
        <v>1074.71</v>
      </c>
      <c r="Z139" t="s">
        <v>655</v>
      </c>
      <c r="AA139" t="s">
        <v>647</v>
      </c>
    </row>
    <row r="140" spans="1:27" x14ac:dyDescent="0.35">
      <c r="A140" t="s">
        <v>210</v>
      </c>
      <c r="B140" t="s">
        <v>84</v>
      </c>
      <c r="C140" t="str">
        <f>VLOOKUP(B140,patients!$A:$K,2,FALSE)&amp;" "&amp;VLOOKUP('HOSPITAL MANAGEMENT DATA'!B140,patients!$A:$K,3,FALSE)</f>
        <v>Michael Wilson</v>
      </c>
      <c r="D140" t="str">
        <f>VLOOKUP(B140,patients!$A:$K,4,FALSE)</f>
        <v>M</v>
      </c>
      <c r="E140" s="1">
        <f>VLOOKUP(B140,patients!$A:$K,5,FALSE)</f>
        <v>35790</v>
      </c>
      <c r="F140">
        <f>VLOOKUP(B140,patients!$A:$K,6,FALSE)</f>
        <v>8545613046</v>
      </c>
      <c r="G140" t="str">
        <f>VLOOKUP(B140,patients!$A:$K,7,FALSE)</f>
        <v>123 Elm St</v>
      </c>
      <c r="H140" s="1">
        <f>VLOOKUP(B140,patients!$A:$K,8,FALSE)</f>
        <v>44838</v>
      </c>
      <c r="I140" t="str">
        <f>VLOOKUP(B140,patients!$A:$K,11,FALSE)</f>
        <v>michael.wilson@mail.com</v>
      </c>
      <c r="J140" t="s">
        <v>74</v>
      </c>
      <c r="K140" t="str">
        <f>VLOOKUP(J140,doctors!$A:$H,2,FALSE)&amp;" "&amp;VLOOKUP(J140,doctors!$A:$H,3,FALSE)</f>
        <v>Sarah Taylor</v>
      </c>
      <c r="L140" t="str">
        <f>VLOOKUP(J140,doctors!$A:$H,4,FALSE)</f>
        <v>Dermatology</v>
      </c>
      <c r="M140">
        <f>VLOOKUP(J140,doctors!$A:$H,5,FALSE)</f>
        <v>9118538547</v>
      </c>
      <c r="N140" t="str">
        <f>VLOOKUP(J140,doctors!$A:$H,7,FALSE)</f>
        <v>Central Hospital</v>
      </c>
      <c r="O140" s="1">
        <v>45209</v>
      </c>
      <c r="P140" s="2">
        <v>0.44791666666666669</v>
      </c>
      <c r="Q140" t="s">
        <v>10</v>
      </c>
      <c r="R140" t="s">
        <v>15</v>
      </c>
      <c r="S140" t="s">
        <v>576</v>
      </c>
      <c r="T140" t="s">
        <v>434</v>
      </c>
      <c r="U140" s="3">
        <v>4217.3</v>
      </c>
      <c r="V140" s="1">
        <v>45209</v>
      </c>
      <c r="W140" t="s">
        <v>787</v>
      </c>
      <c r="X140" s="1">
        <v>45209</v>
      </c>
      <c r="Y140" s="3">
        <v>4217.3</v>
      </c>
      <c r="Z140" t="s">
        <v>644</v>
      </c>
      <c r="AA140" t="s">
        <v>645</v>
      </c>
    </row>
    <row r="141" spans="1:27" x14ac:dyDescent="0.35">
      <c r="A141" t="s">
        <v>211</v>
      </c>
      <c r="B141" t="s">
        <v>50</v>
      </c>
      <c r="C141" t="str">
        <f>VLOOKUP(B141,patients!$A:$K,2,FALSE)&amp;" "&amp;VLOOKUP('HOSPITAL MANAGEMENT DATA'!B141,patients!$A:$K,3,FALSE)</f>
        <v>Laura Davis</v>
      </c>
      <c r="D141" t="str">
        <f>VLOOKUP(B141,patients!$A:$K,4,FALSE)</f>
        <v>F</v>
      </c>
      <c r="E141" s="1">
        <f>VLOOKUP(B141,patients!$A:$K,5,FALSE)</f>
        <v>33580</v>
      </c>
      <c r="F141">
        <f>VLOOKUP(B141,patients!$A:$K,6,FALSE)</f>
        <v>8135666049</v>
      </c>
      <c r="G141" t="str">
        <f>VLOOKUP(B141,patients!$A:$K,7,FALSE)</f>
        <v>321 Maple Dr</v>
      </c>
      <c r="H141" s="1">
        <f>VLOOKUP(B141,patients!$A:$K,8,FALSE)</f>
        <v>45043</v>
      </c>
      <c r="I141" t="str">
        <f>VLOOKUP(B141,patients!$A:$K,11,FALSE)</f>
        <v>laura.davis@mail.com</v>
      </c>
      <c r="J141" t="s">
        <v>74</v>
      </c>
      <c r="K141" t="str">
        <f>VLOOKUP(J141,doctors!$A:$H,2,FALSE)&amp;" "&amp;VLOOKUP(J141,doctors!$A:$H,3,FALSE)</f>
        <v>Sarah Taylor</v>
      </c>
      <c r="L141" t="str">
        <f>VLOOKUP(J141,doctors!$A:$H,4,FALSE)</f>
        <v>Dermatology</v>
      </c>
      <c r="M141">
        <f>VLOOKUP(J141,doctors!$A:$H,5,FALSE)</f>
        <v>9118538547</v>
      </c>
      <c r="N141" t="str">
        <f>VLOOKUP(J141,doctors!$A:$H,7,FALSE)</f>
        <v>Central Hospital</v>
      </c>
      <c r="O141" s="1">
        <v>44962</v>
      </c>
      <c r="P141" s="2">
        <v>0.63541666666666663</v>
      </c>
      <c r="Q141" t="s">
        <v>29</v>
      </c>
      <c r="R141" t="s">
        <v>15</v>
      </c>
      <c r="S141" t="s">
        <v>577</v>
      </c>
      <c r="T141" t="s">
        <v>444</v>
      </c>
      <c r="U141" s="3">
        <v>4019.13</v>
      </c>
      <c r="V141" s="1">
        <v>44962</v>
      </c>
      <c r="W141" t="s">
        <v>788</v>
      </c>
      <c r="X141" s="1">
        <v>44962</v>
      </c>
      <c r="Y141" s="3">
        <v>4019.13</v>
      </c>
      <c r="Z141" t="s">
        <v>655</v>
      </c>
      <c r="AA141" t="s">
        <v>645</v>
      </c>
    </row>
    <row r="142" spans="1:27" x14ac:dyDescent="0.35">
      <c r="A142" t="s">
        <v>212</v>
      </c>
      <c r="B142" t="s">
        <v>161</v>
      </c>
      <c r="C142" t="str">
        <f>VLOOKUP(B142,patients!$A:$K,2,FALSE)&amp;" "&amp;VLOOKUP('HOSPITAL MANAGEMENT DATA'!B142,patients!$A:$K,3,FALSE)</f>
        <v>Robert Williams</v>
      </c>
      <c r="D142" t="str">
        <f>VLOOKUP(B142,patients!$A:$K,4,FALSE)</f>
        <v>M</v>
      </c>
      <c r="E142" s="1">
        <f>VLOOKUP(B142,patients!$A:$K,5,FALSE)</f>
        <v>18798</v>
      </c>
      <c r="F142">
        <f>VLOOKUP(B142,patients!$A:$K,6,FALSE)</f>
        <v>7020645498</v>
      </c>
      <c r="G142" t="str">
        <f>VLOOKUP(B142,patients!$A:$K,7,FALSE)</f>
        <v>456 Oak Ave</v>
      </c>
      <c r="H142" s="1">
        <f>VLOOKUP(B142,patients!$A:$K,8,FALSE)</f>
        <v>44758</v>
      </c>
      <c r="I142" t="str">
        <f>VLOOKUP(B142,patients!$A:$K,11,FALSE)</f>
        <v>robert.williams@mail.com</v>
      </c>
      <c r="J142" t="s">
        <v>48</v>
      </c>
      <c r="K142" t="str">
        <f>VLOOKUP(J142,doctors!$A:$H,2,FALSE)&amp;" "&amp;VLOOKUP(J142,doctors!$A:$H,3,FALSE)</f>
        <v>Jane Davis</v>
      </c>
      <c r="L142" t="str">
        <f>VLOOKUP(J142,doctors!$A:$H,4,FALSE)</f>
        <v>Pediatrics</v>
      </c>
      <c r="M142">
        <f>VLOOKUP(J142,doctors!$A:$H,5,FALSE)</f>
        <v>9004382050</v>
      </c>
      <c r="N142" t="str">
        <f>VLOOKUP(J142,doctors!$A:$H,7,FALSE)</f>
        <v>Eastside Clinic</v>
      </c>
      <c r="O142" s="1">
        <v>45092</v>
      </c>
      <c r="P142" s="2">
        <v>0.63541666666666663</v>
      </c>
      <c r="Q142" t="s">
        <v>29</v>
      </c>
      <c r="R142" t="s">
        <v>41</v>
      </c>
      <c r="S142" t="s">
        <v>578</v>
      </c>
      <c r="T142" t="s">
        <v>440</v>
      </c>
      <c r="U142" s="3">
        <v>3689.35</v>
      </c>
      <c r="V142" s="1">
        <v>45092</v>
      </c>
      <c r="W142" t="s">
        <v>789</v>
      </c>
      <c r="X142" s="1">
        <v>45092</v>
      </c>
      <c r="Y142" s="3">
        <v>3689.35</v>
      </c>
      <c r="Z142" t="s">
        <v>644</v>
      </c>
      <c r="AA142" t="s">
        <v>645</v>
      </c>
    </row>
    <row r="143" spans="1:27" x14ac:dyDescent="0.35">
      <c r="A143" t="s">
        <v>213</v>
      </c>
      <c r="B143" t="s">
        <v>100</v>
      </c>
      <c r="C143" t="str">
        <f>VLOOKUP(B143,patients!$A:$K,2,FALSE)&amp;" "&amp;VLOOKUP('HOSPITAL MANAGEMENT DATA'!B143,patients!$A:$K,3,FALSE)</f>
        <v>Sarah Miller</v>
      </c>
      <c r="D143" t="str">
        <f>VLOOKUP(B143,patients!$A:$K,4,FALSE)</f>
        <v>M</v>
      </c>
      <c r="E143" s="1">
        <f>VLOOKUP(B143,patients!$A:$K,5,FALSE)</f>
        <v>27538</v>
      </c>
      <c r="F143">
        <f>VLOOKUP(B143,patients!$A:$K,6,FALSE)</f>
        <v>8618058864</v>
      </c>
      <c r="G143" t="str">
        <f>VLOOKUP(B143,patients!$A:$K,7,FALSE)</f>
        <v>789 Pine Rd</v>
      </c>
      <c r="H143" s="1">
        <f>VLOOKUP(B143,patients!$A:$K,8,FALSE)</f>
        <v>45101</v>
      </c>
      <c r="I143" t="str">
        <f>VLOOKUP(B143,patients!$A:$K,11,FALSE)</f>
        <v>sarah.miller@mail.com</v>
      </c>
      <c r="J143" t="s">
        <v>25</v>
      </c>
      <c r="K143" t="str">
        <f>VLOOKUP(J143,doctors!$A:$H,2,FALSE)&amp;" "&amp;VLOOKUP(J143,doctors!$A:$H,3,FALSE)</f>
        <v>Jane Smith</v>
      </c>
      <c r="L143" t="str">
        <f>VLOOKUP(J143,doctors!$A:$H,4,FALSE)</f>
        <v>Pediatrics</v>
      </c>
      <c r="M143">
        <f>VLOOKUP(J143,doctors!$A:$H,5,FALSE)</f>
        <v>8737740598</v>
      </c>
      <c r="N143" t="str">
        <f>VLOOKUP(J143,doctors!$A:$H,7,FALSE)</f>
        <v>Eastside Clinic</v>
      </c>
      <c r="O143" s="1">
        <v>45231</v>
      </c>
      <c r="P143" s="2">
        <v>0.48958333333333331</v>
      </c>
      <c r="Q143" t="s">
        <v>10</v>
      </c>
      <c r="R143" t="s">
        <v>15</v>
      </c>
      <c r="S143" t="s">
        <v>579</v>
      </c>
      <c r="T143" t="s">
        <v>434</v>
      </c>
      <c r="U143" s="3">
        <v>662.72</v>
      </c>
      <c r="V143" s="1">
        <v>45231</v>
      </c>
      <c r="W143" t="s">
        <v>790</v>
      </c>
      <c r="X143" s="1">
        <v>45231</v>
      </c>
      <c r="Y143" s="3">
        <v>662.72</v>
      </c>
      <c r="Z143" t="s">
        <v>644</v>
      </c>
      <c r="AA143" t="s">
        <v>647</v>
      </c>
    </row>
    <row r="144" spans="1:27" x14ac:dyDescent="0.35">
      <c r="A144" t="s">
        <v>214</v>
      </c>
      <c r="B144" t="s">
        <v>50</v>
      </c>
      <c r="C144" t="str">
        <f>VLOOKUP(B144,patients!$A:$K,2,FALSE)&amp;" "&amp;VLOOKUP('HOSPITAL MANAGEMENT DATA'!B144,patients!$A:$K,3,FALSE)</f>
        <v>Laura Davis</v>
      </c>
      <c r="D144" t="str">
        <f>VLOOKUP(B144,patients!$A:$K,4,FALSE)</f>
        <v>F</v>
      </c>
      <c r="E144" s="1">
        <f>VLOOKUP(B144,patients!$A:$K,5,FALSE)</f>
        <v>33580</v>
      </c>
      <c r="F144">
        <f>VLOOKUP(B144,patients!$A:$K,6,FALSE)</f>
        <v>8135666049</v>
      </c>
      <c r="G144" t="str">
        <f>VLOOKUP(B144,patients!$A:$K,7,FALSE)</f>
        <v>321 Maple Dr</v>
      </c>
      <c r="H144" s="1">
        <f>VLOOKUP(B144,patients!$A:$K,8,FALSE)</f>
        <v>45043</v>
      </c>
      <c r="I144" t="str">
        <f>VLOOKUP(B144,patients!$A:$K,11,FALSE)</f>
        <v>laura.davis@mail.com</v>
      </c>
      <c r="J144" t="s">
        <v>32</v>
      </c>
      <c r="K144" t="str">
        <f>VLOOKUP(J144,doctors!$A:$H,2,FALSE)&amp;" "&amp;VLOOKUP(J144,doctors!$A:$H,3,FALSE)</f>
        <v>Robert Davis</v>
      </c>
      <c r="L144" t="str">
        <f>VLOOKUP(J144,doctors!$A:$H,4,FALSE)</f>
        <v>Oncology</v>
      </c>
      <c r="M144">
        <f>VLOOKUP(J144,doctors!$A:$H,5,FALSE)</f>
        <v>8217493115</v>
      </c>
      <c r="N144" t="str">
        <f>VLOOKUP(J144,doctors!$A:$H,7,FALSE)</f>
        <v>Westside Clinic</v>
      </c>
      <c r="O144" s="1">
        <v>45190</v>
      </c>
      <c r="P144" s="2">
        <v>0.51041666666666663</v>
      </c>
      <c r="Q144" t="s">
        <v>29</v>
      </c>
      <c r="R144" t="s">
        <v>19</v>
      </c>
      <c r="S144" t="s">
        <v>580</v>
      </c>
      <c r="T144" t="s">
        <v>434</v>
      </c>
      <c r="U144" s="3">
        <v>1864.08</v>
      </c>
      <c r="V144" s="1">
        <v>45190</v>
      </c>
      <c r="W144" t="s">
        <v>791</v>
      </c>
      <c r="X144" s="1">
        <v>45190</v>
      </c>
      <c r="Y144" s="3">
        <v>1864.08</v>
      </c>
      <c r="Z144" t="s">
        <v>644</v>
      </c>
      <c r="AA144" t="s">
        <v>650</v>
      </c>
    </row>
    <row r="145" spans="1:27" x14ac:dyDescent="0.35">
      <c r="A145" t="s">
        <v>215</v>
      </c>
      <c r="B145" t="s">
        <v>177</v>
      </c>
      <c r="C145" t="str">
        <f>VLOOKUP(B145,patients!$A:$K,2,FALSE)&amp;" "&amp;VLOOKUP('HOSPITAL MANAGEMENT DATA'!B145,patients!$A:$K,3,FALSE)</f>
        <v>Laura Davis</v>
      </c>
      <c r="D145" t="str">
        <f>VLOOKUP(B145,patients!$A:$K,4,FALSE)</f>
        <v>M</v>
      </c>
      <c r="E145" s="1">
        <f>VLOOKUP(B145,patients!$A:$K,5,FALSE)</f>
        <v>26278</v>
      </c>
      <c r="F145">
        <f>VLOOKUP(B145,patients!$A:$K,6,FALSE)</f>
        <v>7060324619</v>
      </c>
      <c r="G145" t="str">
        <f>VLOOKUP(B145,patients!$A:$K,7,FALSE)</f>
        <v>321 Maple Dr</v>
      </c>
      <c r="H145" s="1">
        <f>VLOOKUP(B145,patients!$A:$K,8,FALSE)</f>
        <v>44822</v>
      </c>
      <c r="I145" t="str">
        <f>VLOOKUP(B145,patients!$A:$K,11,FALSE)</f>
        <v>laura.davis@mail.com</v>
      </c>
      <c r="J145" t="s">
        <v>22</v>
      </c>
      <c r="K145" t="str">
        <f>VLOOKUP(J145,doctors!$A:$H,2,FALSE)&amp;" "&amp;VLOOKUP(J145,doctors!$A:$H,3,FALSE)</f>
        <v>Alex Davis</v>
      </c>
      <c r="L145" t="str">
        <f>VLOOKUP(J145,doctors!$A:$H,4,FALSE)</f>
        <v>Pediatrics</v>
      </c>
      <c r="M145">
        <f>VLOOKUP(J145,doctors!$A:$H,5,FALSE)</f>
        <v>6570137231</v>
      </c>
      <c r="N145" t="str">
        <f>VLOOKUP(J145,doctors!$A:$H,7,FALSE)</f>
        <v>Central Hospital</v>
      </c>
      <c r="O145" s="1">
        <v>45154</v>
      </c>
      <c r="P145" s="2">
        <v>0.51041666666666663</v>
      </c>
      <c r="Q145" t="s">
        <v>29</v>
      </c>
      <c r="R145" t="s">
        <v>15</v>
      </c>
      <c r="S145" t="s">
        <v>581</v>
      </c>
      <c r="T145" t="s">
        <v>431</v>
      </c>
      <c r="U145" s="3">
        <v>1684.01</v>
      </c>
      <c r="V145" s="1">
        <v>45154</v>
      </c>
      <c r="W145" t="s">
        <v>792</v>
      </c>
      <c r="X145" s="1">
        <v>45154</v>
      </c>
      <c r="Y145" s="3">
        <v>1684.01</v>
      </c>
      <c r="Z145" t="s">
        <v>644</v>
      </c>
      <c r="AA145" t="s">
        <v>650</v>
      </c>
    </row>
    <row r="146" spans="1:27" x14ac:dyDescent="0.35">
      <c r="A146" t="s">
        <v>216</v>
      </c>
      <c r="B146" t="s">
        <v>163</v>
      </c>
      <c r="C146" t="str">
        <f>VLOOKUP(B146,patients!$A:$K,2,FALSE)&amp;" "&amp;VLOOKUP('HOSPITAL MANAGEMENT DATA'!B146,patients!$A:$K,3,FALSE)</f>
        <v>Alex Johnson</v>
      </c>
      <c r="D146" t="str">
        <f>VLOOKUP(B146,patients!$A:$K,4,FALSE)</f>
        <v>F</v>
      </c>
      <c r="E146" s="1">
        <f>VLOOKUP(B146,patients!$A:$K,5,FALSE)</f>
        <v>32667</v>
      </c>
      <c r="F146">
        <f>VLOOKUP(B146,patients!$A:$K,6,FALSE)</f>
        <v>6278710077</v>
      </c>
      <c r="G146" t="str">
        <f>VLOOKUP(B146,patients!$A:$K,7,FALSE)</f>
        <v>789 Pine Rd</v>
      </c>
      <c r="H146" s="1">
        <f>VLOOKUP(B146,patients!$A:$K,8,FALSE)</f>
        <v>44555</v>
      </c>
      <c r="I146" t="str">
        <f>VLOOKUP(B146,patients!$A:$K,11,FALSE)</f>
        <v>alex.johnson@mail.com</v>
      </c>
      <c r="J146" t="s">
        <v>48</v>
      </c>
      <c r="K146" t="str">
        <f>VLOOKUP(J146,doctors!$A:$H,2,FALSE)&amp;" "&amp;VLOOKUP(J146,doctors!$A:$H,3,FALSE)</f>
        <v>Jane Davis</v>
      </c>
      <c r="L146" t="str">
        <f>VLOOKUP(J146,doctors!$A:$H,4,FALSE)</f>
        <v>Pediatrics</v>
      </c>
      <c r="M146">
        <f>VLOOKUP(J146,doctors!$A:$H,5,FALSE)</f>
        <v>9004382050</v>
      </c>
      <c r="N146" t="str">
        <f>VLOOKUP(J146,doctors!$A:$H,7,FALSE)</f>
        <v>Eastside Clinic</v>
      </c>
      <c r="O146" s="1">
        <v>45241</v>
      </c>
      <c r="P146" s="2">
        <v>0.61458333333333337</v>
      </c>
      <c r="Q146" t="s">
        <v>29</v>
      </c>
      <c r="R146" t="s">
        <v>11</v>
      </c>
      <c r="S146" t="s">
        <v>582</v>
      </c>
      <c r="T146" t="s">
        <v>456</v>
      </c>
      <c r="U146" s="3">
        <v>2120.61</v>
      </c>
      <c r="V146" s="1">
        <v>45241</v>
      </c>
      <c r="W146" t="s">
        <v>793</v>
      </c>
      <c r="X146" s="1">
        <v>45241</v>
      </c>
      <c r="Y146" s="3">
        <v>2120.61</v>
      </c>
      <c r="Z146" t="s">
        <v>644</v>
      </c>
      <c r="AA146" t="s">
        <v>647</v>
      </c>
    </row>
    <row r="147" spans="1:27" x14ac:dyDescent="0.35">
      <c r="A147" t="s">
        <v>217</v>
      </c>
      <c r="B147" t="s">
        <v>63</v>
      </c>
      <c r="C147" t="str">
        <f>VLOOKUP(B147,patients!$A:$K,2,FALSE)&amp;" "&amp;VLOOKUP('HOSPITAL MANAGEMENT DATA'!B147,patients!$A:$K,3,FALSE)</f>
        <v>Alex Moore</v>
      </c>
      <c r="D147" t="str">
        <f>VLOOKUP(B147,patients!$A:$K,4,FALSE)</f>
        <v>M</v>
      </c>
      <c r="E147" s="1">
        <f>VLOOKUP(B147,patients!$A:$K,5,FALSE)</f>
        <v>34072</v>
      </c>
      <c r="F147">
        <f>VLOOKUP(B147,patients!$A:$K,6,FALSE)</f>
        <v>7028910482</v>
      </c>
      <c r="G147" t="str">
        <f>VLOOKUP(B147,patients!$A:$K,7,FALSE)</f>
        <v>321 Maple Dr</v>
      </c>
      <c r="H147" s="1">
        <f>VLOOKUP(B147,patients!$A:$K,8,FALSE)</f>
        <v>45066</v>
      </c>
      <c r="I147" t="str">
        <f>VLOOKUP(B147,patients!$A:$K,11,FALSE)</f>
        <v>alex.moore@mail.com</v>
      </c>
      <c r="J147" t="s">
        <v>22</v>
      </c>
      <c r="K147" t="str">
        <f>VLOOKUP(J147,doctors!$A:$H,2,FALSE)&amp;" "&amp;VLOOKUP(J147,doctors!$A:$H,3,FALSE)</f>
        <v>Alex Davis</v>
      </c>
      <c r="L147" t="str">
        <f>VLOOKUP(J147,doctors!$A:$H,4,FALSE)</f>
        <v>Pediatrics</v>
      </c>
      <c r="M147">
        <f>VLOOKUP(J147,doctors!$A:$H,5,FALSE)</f>
        <v>6570137231</v>
      </c>
      <c r="N147" t="str">
        <f>VLOOKUP(J147,doctors!$A:$H,7,FALSE)</f>
        <v>Central Hospital</v>
      </c>
      <c r="O147" s="1">
        <v>44931</v>
      </c>
      <c r="P147" s="2">
        <v>0.39583333333333331</v>
      </c>
      <c r="Q147" t="s">
        <v>26</v>
      </c>
      <c r="R147" t="s">
        <v>15</v>
      </c>
      <c r="S147" t="s">
        <v>583</v>
      </c>
      <c r="T147" t="s">
        <v>434</v>
      </c>
      <c r="U147" s="3">
        <v>894.39</v>
      </c>
      <c r="V147" s="1">
        <v>44931</v>
      </c>
      <c r="W147" t="s">
        <v>794</v>
      </c>
      <c r="X147" s="1">
        <v>44931</v>
      </c>
      <c r="Y147" s="3">
        <v>894.39</v>
      </c>
      <c r="Z147" t="s">
        <v>644</v>
      </c>
      <c r="AA147" t="s">
        <v>645</v>
      </c>
    </row>
    <row r="148" spans="1:27" x14ac:dyDescent="0.35">
      <c r="A148" t="s">
        <v>218</v>
      </c>
      <c r="B148" t="s">
        <v>61</v>
      </c>
      <c r="C148" t="str">
        <f>VLOOKUP(B148,patients!$A:$K,2,FALSE)&amp;" "&amp;VLOOKUP('HOSPITAL MANAGEMENT DATA'!B148,patients!$A:$K,3,FALSE)</f>
        <v>Alex Taylor</v>
      </c>
      <c r="D148" t="str">
        <f>VLOOKUP(B148,patients!$A:$K,4,FALSE)</f>
        <v>M</v>
      </c>
      <c r="E148" s="1">
        <f>VLOOKUP(B148,patients!$A:$K,5,FALSE)</f>
        <v>24895</v>
      </c>
      <c r="F148">
        <f>VLOOKUP(B148,patients!$A:$K,6,FALSE)</f>
        <v>7292262512</v>
      </c>
      <c r="G148" t="str">
        <f>VLOOKUP(B148,patients!$A:$K,7,FALSE)</f>
        <v>789 Pine Rd</v>
      </c>
      <c r="H148" s="1">
        <f>VLOOKUP(B148,patients!$A:$K,8,FALSE)</f>
        <v>45272</v>
      </c>
      <c r="I148" t="str">
        <f>VLOOKUP(B148,patients!$A:$K,11,FALSE)</f>
        <v>alex.taylor@mail.com</v>
      </c>
      <c r="J148" t="s">
        <v>48</v>
      </c>
      <c r="K148" t="str">
        <f>VLOOKUP(J148,doctors!$A:$H,2,FALSE)&amp;" "&amp;VLOOKUP(J148,doctors!$A:$H,3,FALSE)</f>
        <v>Jane Davis</v>
      </c>
      <c r="L148" t="str">
        <f>VLOOKUP(J148,doctors!$A:$H,4,FALSE)</f>
        <v>Pediatrics</v>
      </c>
      <c r="M148">
        <f>VLOOKUP(J148,doctors!$A:$H,5,FALSE)</f>
        <v>9004382050</v>
      </c>
      <c r="N148" t="str">
        <f>VLOOKUP(J148,doctors!$A:$H,7,FALSE)</f>
        <v>Eastside Clinic</v>
      </c>
      <c r="O148" s="1">
        <v>45243</v>
      </c>
      <c r="P148" s="2">
        <v>0.72916666666666663</v>
      </c>
      <c r="Q148" t="s">
        <v>26</v>
      </c>
      <c r="R148" t="s">
        <v>41</v>
      </c>
      <c r="S148" t="s">
        <v>584</v>
      </c>
      <c r="T148" t="s">
        <v>434</v>
      </c>
      <c r="U148" s="3">
        <v>4716.3100000000004</v>
      </c>
      <c r="V148" s="1">
        <v>45243</v>
      </c>
      <c r="W148" t="s">
        <v>795</v>
      </c>
      <c r="X148" s="1">
        <v>45243</v>
      </c>
      <c r="Y148" s="3">
        <v>4716.3100000000004</v>
      </c>
      <c r="Z148" t="s">
        <v>644</v>
      </c>
      <c r="AA148" t="s">
        <v>650</v>
      </c>
    </row>
    <row r="149" spans="1:27" x14ac:dyDescent="0.35">
      <c r="A149" t="s">
        <v>219</v>
      </c>
      <c r="B149" t="s">
        <v>97</v>
      </c>
      <c r="C149" t="str">
        <f>VLOOKUP(B149,patients!$A:$K,2,FALSE)&amp;" "&amp;VLOOKUP('HOSPITAL MANAGEMENT DATA'!B149,patients!$A:$K,3,FALSE)</f>
        <v>Robert Miller</v>
      </c>
      <c r="D149" t="str">
        <f>VLOOKUP(B149,patients!$A:$K,4,FALSE)</f>
        <v>M</v>
      </c>
      <c r="E149" s="1">
        <f>VLOOKUP(B149,patients!$A:$K,5,FALSE)</f>
        <v>31791</v>
      </c>
      <c r="F149">
        <f>VLOOKUP(B149,patients!$A:$K,6,FALSE)</f>
        <v>8280346676</v>
      </c>
      <c r="G149" t="str">
        <f>VLOOKUP(B149,patients!$A:$K,7,FALSE)</f>
        <v>321 Maple Dr</v>
      </c>
      <c r="H149" s="1">
        <f>VLOOKUP(B149,patients!$A:$K,8,FALSE)</f>
        <v>44740</v>
      </c>
      <c r="I149" t="str">
        <f>VLOOKUP(B149,patients!$A:$K,11,FALSE)</f>
        <v>robert.miller@mail.com</v>
      </c>
      <c r="J149" t="s">
        <v>48</v>
      </c>
      <c r="K149" t="str">
        <f>VLOOKUP(J149,doctors!$A:$H,2,FALSE)&amp;" "&amp;VLOOKUP(J149,doctors!$A:$H,3,FALSE)</f>
        <v>Jane Davis</v>
      </c>
      <c r="L149" t="str">
        <f>VLOOKUP(J149,doctors!$A:$H,4,FALSE)</f>
        <v>Pediatrics</v>
      </c>
      <c r="M149">
        <f>VLOOKUP(J149,doctors!$A:$H,5,FALSE)</f>
        <v>9004382050</v>
      </c>
      <c r="N149" t="str">
        <f>VLOOKUP(J149,doctors!$A:$H,7,FALSE)</f>
        <v>Eastside Clinic</v>
      </c>
      <c r="O149" s="1">
        <v>45266</v>
      </c>
      <c r="P149" s="2">
        <v>0.35416666666666669</v>
      </c>
      <c r="Q149" t="s">
        <v>18</v>
      </c>
      <c r="R149" t="s">
        <v>11</v>
      </c>
      <c r="S149" t="s">
        <v>585</v>
      </c>
      <c r="T149" t="s">
        <v>444</v>
      </c>
      <c r="U149" s="3">
        <v>2992.11</v>
      </c>
      <c r="V149" s="1">
        <v>45266</v>
      </c>
      <c r="W149" t="s">
        <v>796</v>
      </c>
      <c r="X149" s="1">
        <v>45266</v>
      </c>
      <c r="Y149" s="3">
        <v>2992.11</v>
      </c>
      <c r="Z149" t="s">
        <v>655</v>
      </c>
      <c r="AA149" t="s">
        <v>647</v>
      </c>
    </row>
    <row r="150" spans="1:27" x14ac:dyDescent="0.35">
      <c r="A150" t="s">
        <v>220</v>
      </c>
      <c r="B150" t="s">
        <v>100</v>
      </c>
      <c r="C150" t="str">
        <f>VLOOKUP(B150,patients!$A:$K,2,FALSE)&amp;" "&amp;VLOOKUP('HOSPITAL MANAGEMENT DATA'!B150,patients!$A:$K,3,FALSE)</f>
        <v>Sarah Miller</v>
      </c>
      <c r="D150" t="str">
        <f>VLOOKUP(B150,patients!$A:$K,4,FALSE)</f>
        <v>M</v>
      </c>
      <c r="E150" s="1">
        <f>VLOOKUP(B150,patients!$A:$K,5,FALSE)</f>
        <v>27538</v>
      </c>
      <c r="F150">
        <f>VLOOKUP(B150,patients!$A:$K,6,FALSE)</f>
        <v>8618058864</v>
      </c>
      <c r="G150" t="str">
        <f>VLOOKUP(B150,patients!$A:$K,7,FALSE)</f>
        <v>789 Pine Rd</v>
      </c>
      <c r="H150" s="1">
        <f>VLOOKUP(B150,patients!$A:$K,8,FALSE)</f>
        <v>45101</v>
      </c>
      <c r="I150" t="str">
        <f>VLOOKUP(B150,patients!$A:$K,11,FALSE)</f>
        <v>sarah.miller@mail.com</v>
      </c>
      <c r="J150" t="s">
        <v>48</v>
      </c>
      <c r="K150" t="str">
        <f>VLOOKUP(J150,doctors!$A:$H,2,FALSE)&amp;" "&amp;VLOOKUP(J150,doctors!$A:$H,3,FALSE)</f>
        <v>Jane Davis</v>
      </c>
      <c r="L150" t="str">
        <f>VLOOKUP(J150,doctors!$A:$H,4,FALSE)</f>
        <v>Pediatrics</v>
      </c>
      <c r="M150">
        <f>VLOOKUP(J150,doctors!$A:$H,5,FALSE)</f>
        <v>9004382050</v>
      </c>
      <c r="N150" t="str">
        <f>VLOOKUP(J150,doctors!$A:$H,7,FALSE)</f>
        <v>Eastside Clinic</v>
      </c>
      <c r="O150" s="1">
        <v>45133</v>
      </c>
      <c r="P150" s="2">
        <v>0.52083333333333337</v>
      </c>
      <c r="Q150" t="s">
        <v>38</v>
      </c>
      <c r="R150" t="s">
        <v>41</v>
      </c>
      <c r="S150" t="s">
        <v>586</v>
      </c>
      <c r="T150" t="s">
        <v>444</v>
      </c>
      <c r="U150" s="3">
        <v>1874.86</v>
      </c>
      <c r="V150" s="1">
        <v>45133</v>
      </c>
      <c r="W150" t="s">
        <v>797</v>
      </c>
      <c r="X150" s="1">
        <v>45133</v>
      </c>
      <c r="Y150" s="3">
        <v>1874.86</v>
      </c>
      <c r="Z150" t="s">
        <v>652</v>
      </c>
      <c r="AA150" t="s">
        <v>650</v>
      </c>
    </row>
    <row r="151" spans="1:27" x14ac:dyDescent="0.35">
      <c r="A151" t="s">
        <v>221</v>
      </c>
      <c r="B151" t="s">
        <v>66</v>
      </c>
      <c r="C151" t="str">
        <f>VLOOKUP(B151,patients!$A:$K,2,FALSE)&amp;" "&amp;VLOOKUP('HOSPITAL MANAGEMENT DATA'!B151,patients!$A:$K,3,FALSE)</f>
        <v>Jane Moore</v>
      </c>
      <c r="D151" t="str">
        <f>VLOOKUP(B151,patients!$A:$K,4,FALSE)</f>
        <v>M</v>
      </c>
      <c r="E151" s="1">
        <f>VLOOKUP(B151,patients!$A:$K,5,FALSE)</f>
        <v>35046</v>
      </c>
      <c r="F151">
        <f>VLOOKUP(B151,patients!$A:$K,6,FALSE)</f>
        <v>8715732851</v>
      </c>
      <c r="G151" t="str">
        <f>VLOOKUP(B151,patients!$A:$K,7,FALSE)</f>
        <v>321 Maple Dr</v>
      </c>
      <c r="H151" s="1">
        <f>VLOOKUP(B151,patients!$A:$K,8,FALSE)</f>
        <v>44701</v>
      </c>
      <c r="I151" t="str">
        <f>VLOOKUP(B151,patients!$A:$K,11,FALSE)</f>
        <v>jane.moore@mail.com</v>
      </c>
      <c r="J151" t="s">
        <v>25</v>
      </c>
      <c r="K151" t="str">
        <f>VLOOKUP(J151,doctors!$A:$H,2,FALSE)&amp;" "&amp;VLOOKUP(J151,doctors!$A:$H,3,FALSE)</f>
        <v>Jane Smith</v>
      </c>
      <c r="L151" t="str">
        <f>VLOOKUP(J151,doctors!$A:$H,4,FALSE)</f>
        <v>Pediatrics</v>
      </c>
      <c r="M151">
        <f>VLOOKUP(J151,doctors!$A:$H,5,FALSE)</f>
        <v>8737740598</v>
      </c>
      <c r="N151" t="str">
        <f>VLOOKUP(J151,doctors!$A:$H,7,FALSE)</f>
        <v>Eastside Clinic</v>
      </c>
      <c r="O151" s="1">
        <v>45154</v>
      </c>
      <c r="P151" s="2">
        <v>0.44791666666666669</v>
      </c>
      <c r="Q151" t="s">
        <v>10</v>
      </c>
      <c r="R151" t="s">
        <v>41</v>
      </c>
      <c r="S151" t="s">
        <v>587</v>
      </c>
      <c r="T151" t="s">
        <v>440</v>
      </c>
      <c r="U151" s="3">
        <v>2286.42</v>
      </c>
      <c r="V151" s="1">
        <v>45154</v>
      </c>
      <c r="W151" t="s">
        <v>798</v>
      </c>
      <c r="X151" s="1">
        <v>45154</v>
      </c>
      <c r="Y151" s="3">
        <v>2286.42</v>
      </c>
      <c r="Z151" t="s">
        <v>652</v>
      </c>
      <c r="AA151" t="s">
        <v>647</v>
      </c>
    </row>
    <row r="152" spans="1:27" x14ac:dyDescent="0.35">
      <c r="A152" t="s">
        <v>222</v>
      </c>
      <c r="B152" t="s">
        <v>34</v>
      </c>
      <c r="C152" t="str">
        <f>VLOOKUP(B152,patients!$A:$K,2,FALSE)&amp;" "&amp;VLOOKUP('HOSPITAL MANAGEMENT DATA'!B152,patients!$A:$K,3,FALSE)</f>
        <v>Michael Taylor</v>
      </c>
      <c r="D152" t="str">
        <f>VLOOKUP(B152,patients!$A:$K,4,FALSE)</f>
        <v>M</v>
      </c>
      <c r="E152" s="1">
        <f>VLOOKUP(B152,patients!$A:$K,5,FALSE)</f>
        <v>36729</v>
      </c>
      <c r="F152">
        <f>VLOOKUP(B152,patients!$A:$K,6,FALSE)</f>
        <v>7223380592</v>
      </c>
      <c r="G152" t="str">
        <f>VLOOKUP(B152,patients!$A:$K,7,FALSE)</f>
        <v>789 Pine Rd</v>
      </c>
      <c r="H152" s="1">
        <f>VLOOKUP(B152,patients!$A:$K,8,FALSE)</f>
        <v>44400</v>
      </c>
      <c r="I152" t="str">
        <f>VLOOKUP(B152,patients!$A:$K,11,FALSE)</f>
        <v>michael.taylor@mail.com</v>
      </c>
      <c r="J152" t="s">
        <v>48</v>
      </c>
      <c r="K152" t="str">
        <f>VLOOKUP(J152,doctors!$A:$H,2,FALSE)&amp;" "&amp;VLOOKUP(J152,doctors!$A:$H,3,FALSE)</f>
        <v>Jane Davis</v>
      </c>
      <c r="L152" t="str">
        <f>VLOOKUP(J152,doctors!$A:$H,4,FALSE)</f>
        <v>Pediatrics</v>
      </c>
      <c r="M152">
        <f>VLOOKUP(J152,doctors!$A:$H,5,FALSE)</f>
        <v>9004382050</v>
      </c>
      <c r="N152" t="str">
        <f>VLOOKUP(J152,doctors!$A:$H,7,FALSE)</f>
        <v>Eastside Clinic</v>
      </c>
      <c r="O152" s="1">
        <v>44954</v>
      </c>
      <c r="P152" s="2">
        <v>0.38541666666666669</v>
      </c>
      <c r="Q152" t="s">
        <v>10</v>
      </c>
      <c r="R152" t="s">
        <v>11</v>
      </c>
      <c r="S152" t="s">
        <v>588</v>
      </c>
      <c r="T152" t="s">
        <v>431</v>
      </c>
      <c r="U152" s="3">
        <v>2512.41</v>
      </c>
      <c r="V152" s="1">
        <v>44954</v>
      </c>
      <c r="W152" t="s">
        <v>799</v>
      </c>
      <c r="X152" s="1">
        <v>44954</v>
      </c>
      <c r="Y152" s="3">
        <v>2512.41</v>
      </c>
      <c r="Z152" t="s">
        <v>655</v>
      </c>
      <c r="AA152" t="s">
        <v>645</v>
      </c>
    </row>
    <row r="153" spans="1:27" x14ac:dyDescent="0.35">
      <c r="A153" t="s">
        <v>223</v>
      </c>
      <c r="B153" t="s">
        <v>40</v>
      </c>
      <c r="C153" t="str">
        <f>VLOOKUP(B153,patients!$A:$K,2,FALSE)&amp;" "&amp;VLOOKUP('HOSPITAL MANAGEMENT DATA'!B153,patients!$A:$K,3,FALSE)</f>
        <v>David Wilson</v>
      </c>
      <c r="D153" t="str">
        <f>VLOOKUP(B153,patients!$A:$K,4,FALSE)</f>
        <v>M</v>
      </c>
      <c r="E153" s="1">
        <f>VLOOKUP(B153,patients!$A:$K,5,FALSE)</f>
        <v>22090</v>
      </c>
      <c r="F153">
        <f>VLOOKUP(B153,patients!$A:$K,6,FALSE)</f>
        <v>7734463155</v>
      </c>
      <c r="G153" t="str">
        <f>VLOOKUP(B153,patients!$A:$K,7,FALSE)</f>
        <v>123 Elm St</v>
      </c>
      <c r="H153" s="1">
        <f>VLOOKUP(B153,patients!$A:$K,8,FALSE)</f>
        <v>44468</v>
      </c>
      <c r="I153" t="str">
        <f>VLOOKUP(B153,patients!$A:$K,11,FALSE)</f>
        <v>david.wilson@mail.com</v>
      </c>
      <c r="J153" t="s">
        <v>14</v>
      </c>
      <c r="K153" t="str">
        <f>VLOOKUP(J153,doctors!$A:$H,2,FALSE)&amp;" "&amp;VLOOKUP(J153,doctors!$A:$H,3,FALSE)</f>
        <v>David Jones</v>
      </c>
      <c r="L153" t="str">
        <f>VLOOKUP(J153,doctors!$A:$H,4,FALSE)</f>
        <v>Pediatrics</v>
      </c>
      <c r="M153">
        <f>VLOOKUP(J153,doctors!$A:$H,5,FALSE)</f>
        <v>6594221991</v>
      </c>
      <c r="N153" t="str">
        <f>VLOOKUP(J153,doctors!$A:$H,7,FALSE)</f>
        <v>Central Hospital</v>
      </c>
      <c r="O153" s="1">
        <v>45030</v>
      </c>
      <c r="P153" s="2">
        <v>0.35416666666666669</v>
      </c>
      <c r="Q153" t="s">
        <v>10</v>
      </c>
      <c r="R153" t="s">
        <v>41</v>
      </c>
      <c r="S153" t="s">
        <v>589</v>
      </c>
      <c r="T153" t="s">
        <v>440</v>
      </c>
      <c r="U153" s="3">
        <v>3202.67</v>
      </c>
      <c r="V153" s="1">
        <v>45030</v>
      </c>
      <c r="W153" t="s">
        <v>800</v>
      </c>
      <c r="X153" s="1">
        <v>45030</v>
      </c>
      <c r="Y153" s="3">
        <v>3202.67</v>
      </c>
      <c r="Z153" t="s">
        <v>655</v>
      </c>
      <c r="AA153" t="s">
        <v>650</v>
      </c>
    </row>
    <row r="154" spans="1:27" x14ac:dyDescent="0.35">
      <c r="A154" t="s">
        <v>224</v>
      </c>
      <c r="B154" t="s">
        <v>125</v>
      </c>
      <c r="C154" t="str">
        <f>VLOOKUP(B154,patients!$A:$K,2,FALSE)&amp;" "&amp;VLOOKUP('HOSPITAL MANAGEMENT DATA'!B154,patients!$A:$K,3,FALSE)</f>
        <v>David Wilson</v>
      </c>
      <c r="D154" t="str">
        <f>VLOOKUP(B154,patients!$A:$K,4,FALSE)</f>
        <v>F</v>
      </c>
      <c r="E154" s="1">
        <f>VLOOKUP(B154,patients!$A:$K,5,FALSE)</f>
        <v>34072</v>
      </c>
      <c r="F154">
        <f>VLOOKUP(B154,patients!$A:$K,6,FALSE)</f>
        <v>7039619487</v>
      </c>
      <c r="G154" t="str">
        <f>VLOOKUP(B154,patients!$A:$K,7,FALSE)</f>
        <v>123 Elm St</v>
      </c>
      <c r="H154" s="1">
        <f>VLOOKUP(B154,patients!$A:$K,8,FALSE)</f>
        <v>45116</v>
      </c>
      <c r="I154" t="str">
        <f>VLOOKUP(B154,patients!$A:$K,11,FALSE)</f>
        <v>david.wilson@mail.com</v>
      </c>
      <c r="J154" t="s">
        <v>9</v>
      </c>
      <c r="K154" t="str">
        <f>VLOOKUP(J154,doctors!$A:$H,2,FALSE)&amp;" "&amp;VLOOKUP(J154,doctors!$A:$H,3,FALSE)</f>
        <v>Sarah Smith</v>
      </c>
      <c r="L154" t="str">
        <f>VLOOKUP(J154,doctors!$A:$H,4,FALSE)</f>
        <v>Pediatrics</v>
      </c>
      <c r="M154">
        <f>VLOOKUP(J154,doctors!$A:$H,5,FALSE)</f>
        <v>7387087517</v>
      </c>
      <c r="N154" t="str">
        <f>VLOOKUP(J154,doctors!$A:$H,7,FALSE)</f>
        <v>Central Hospital</v>
      </c>
      <c r="O154" s="1">
        <v>45115</v>
      </c>
      <c r="P154" s="2">
        <v>0.53125</v>
      </c>
      <c r="Q154" t="s">
        <v>18</v>
      </c>
      <c r="R154" t="s">
        <v>41</v>
      </c>
      <c r="S154" t="s">
        <v>590</v>
      </c>
      <c r="T154" t="s">
        <v>444</v>
      </c>
      <c r="U154" s="3">
        <v>2820.56</v>
      </c>
      <c r="V154" s="1">
        <v>45115</v>
      </c>
      <c r="W154" t="s">
        <v>801</v>
      </c>
      <c r="X154" s="1">
        <v>45115</v>
      </c>
      <c r="Y154" s="3">
        <v>2820.56</v>
      </c>
      <c r="Z154" t="s">
        <v>655</v>
      </c>
      <c r="AA154" t="s">
        <v>647</v>
      </c>
    </row>
    <row r="155" spans="1:27" x14ac:dyDescent="0.35">
      <c r="A155" t="s">
        <v>225</v>
      </c>
      <c r="B155" t="s">
        <v>50</v>
      </c>
      <c r="C155" t="str">
        <f>VLOOKUP(B155,patients!$A:$K,2,FALSE)&amp;" "&amp;VLOOKUP('HOSPITAL MANAGEMENT DATA'!B155,patients!$A:$K,3,FALSE)</f>
        <v>Laura Davis</v>
      </c>
      <c r="D155" t="str">
        <f>VLOOKUP(B155,patients!$A:$K,4,FALSE)</f>
        <v>F</v>
      </c>
      <c r="E155" s="1">
        <f>VLOOKUP(B155,patients!$A:$K,5,FALSE)</f>
        <v>33580</v>
      </c>
      <c r="F155">
        <f>VLOOKUP(B155,patients!$A:$K,6,FALSE)</f>
        <v>8135666049</v>
      </c>
      <c r="G155" t="str">
        <f>VLOOKUP(B155,patients!$A:$K,7,FALSE)</f>
        <v>321 Maple Dr</v>
      </c>
      <c r="H155" s="1">
        <f>VLOOKUP(B155,patients!$A:$K,8,FALSE)</f>
        <v>45043</v>
      </c>
      <c r="I155" t="str">
        <f>VLOOKUP(B155,patients!$A:$K,11,FALSE)</f>
        <v>laura.davis@mail.com</v>
      </c>
      <c r="J155" t="s">
        <v>22</v>
      </c>
      <c r="K155" t="str">
        <f>VLOOKUP(J155,doctors!$A:$H,2,FALSE)&amp;" "&amp;VLOOKUP(J155,doctors!$A:$H,3,FALSE)</f>
        <v>Alex Davis</v>
      </c>
      <c r="L155" t="str">
        <f>VLOOKUP(J155,doctors!$A:$H,4,FALSE)</f>
        <v>Pediatrics</v>
      </c>
      <c r="M155">
        <f>VLOOKUP(J155,doctors!$A:$H,5,FALSE)</f>
        <v>6570137231</v>
      </c>
      <c r="N155" t="str">
        <f>VLOOKUP(J155,doctors!$A:$H,7,FALSE)</f>
        <v>Central Hospital</v>
      </c>
      <c r="O155" s="1">
        <v>44991</v>
      </c>
      <c r="P155" s="2">
        <v>0.72916666666666663</v>
      </c>
      <c r="Q155" t="s">
        <v>26</v>
      </c>
      <c r="R155" t="s">
        <v>15</v>
      </c>
      <c r="S155" t="s">
        <v>591</v>
      </c>
      <c r="T155" t="s">
        <v>456</v>
      </c>
      <c r="U155" s="3">
        <v>4637.26</v>
      </c>
      <c r="V155" s="1">
        <v>44991</v>
      </c>
      <c r="W155" t="s">
        <v>802</v>
      </c>
      <c r="X155" s="1">
        <v>44991</v>
      </c>
      <c r="Y155" s="3">
        <v>4637.26</v>
      </c>
      <c r="Z155" t="s">
        <v>655</v>
      </c>
      <c r="AA155" t="s">
        <v>650</v>
      </c>
    </row>
    <row r="156" spans="1:27" x14ac:dyDescent="0.35">
      <c r="A156" t="s">
        <v>226</v>
      </c>
      <c r="B156" t="s">
        <v>21</v>
      </c>
      <c r="C156" t="str">
        <f>VLOOKUP(B156,patients!$A:$K,2,FALSE)&amp;" "&amp;VLOOKUP('HOSPITAL MANAGEMENT DATA'!B156,patients!$A:$K,3,FALSE)</f>
        <v>Robert Wilson</v>
      </c>
      <c r="D156" t="str">
        <f>VLOOKUP(B156,patients!$A:$K,4,FALSE)</f>
        <v>M</v>
      </c>
      <c r="E156" s="1">
        <f>VLOOKUP(B156,patients!$A:$K,5,FALSE)</f>
        <v>24333</v>
      </c>
      <c r="F156">
        <f>VLOOKUP(B156,patients!$A:$K,6,FALSE)</f>
        <v>7482069727</v>
      </c>
      <c r="G156" t="str">
        <f>VLOOKUP(B156,patients!$A:$K,7,FALSE)</f>
        <v>123 Elm St</v>
      </c>
      <c r="H156" s="1">
        <f>VLOOKUP(B156,patients!$A:$K,8,FALSE)</f>
        <v>44448</v>
      </c>
      <c r="I156" t="str">
        <f>VLOOKUP(B156,patients!$A:$K,11,FALSE)</f>
        <v>robert.wilson@mail.com</v>
      </c>
      <c r="J156" t="s">
        <v>59</v>
      </c>
      <c r="K156" t="str">
        <f>VLOOKUP(J156,doctors!$A:$H,2,FALSE)&amp;" "&amp;VLOOKUP(J156,doctors!$A:$H,3,FALSE)</f>
        <v>David Taylor</v>
      </c>
      <c r="L156" t="str">
        <f>VLOOKUP(J156,doctors!$A:$H,4,FALSE)</f>
        <v>Dermatology</v>
      </c>
      <c r="M156">
        <f>VLOOKUP(J156,doctors!$A:$H,5,FALSE)</f>
        <v>8322010158</v>
      </c>
      <c r="N156" t="str">
        <f>VLOOKUP(J156,doctors!$A:$H,7,FALSE)</f>
        <v>Westside Clinic</v>
      </c>
      <c r="O156" s="1">
        <v>44929</v>
      </c>
      <c r="P156" s="2">
        <v>0.39583333333333331</v>
      </c>
      <c r="Q156" t="s">
        <v>18</v>
      </c>
      <c r="R156" t="s">
        <v>19</v>
      </c>
      <c r="S156" t="s">
        <v>592</v>
      </c>
      <c r="T156" t="s">
        <v>444</v>
      </c>
      <c r="U156" s="3">
        <v>2736.34</v>
      </c>
      <c r="V156" s="1">
        <v>44929</v>
      </c>
      <c r="W156" t="s">
        <v>803</v>
      </c>
      <c r="X156" s="1">
        <v>44929</v>
      </c>
      <c r="Y156" s="3">
        <v>2736.34</v>
      </c>
      <c r="Z156" t="s">
        <v>644</v>
      </c>
      <c r="AA156" t="s">
        <v>650</v>
      </c>
    </row>
    <row r="157" spans="1:27" x14ac:dyDescent="0.35">
      <c r="A157" t="s">
        <v>227</v>
      </c>
      <c r="B157" t="s">
        <v>81</v>
      </c>
      <c r="C157" t="str">
        <f>VLOOKUP(B157,patients!$A:$K,2,FALSE)&amp;" "&amp;VLOOKUP('HOSPITAL MANAGEMENT DATA'!B157,patients!$A:$K,3,FALSE)</f>
        <v>Michael Wilson</v>
      </c>
      <c r="D157" t="str">
        <f>VLOOKUP(B157,patients!$A:$K,4,FALSE)</f>
        <v>M</v>
      </c>
      <c r="E157" s="1">
        <f>VLOOKUP(B157,patients!$A:$K,5,FALSE)</f>
        <v>37316</v>
      </c>
      <c r="F157">
        <f>VLOOKUP(B157,patients!$A:$K,6,FALSE)</f>
        <v>7765390555</v>
      </c>
      <c r="G157" t="str">
        <f>VLOOKUP(B157,patients!$A:$K,7,FALSE)</f>
        <v>321 Maple Dr</v>
      </c>
      <c r="H157" s="1">
        <f>VLOOKUP(B157,patients!$A:$K,8,FALSE)</f>
        <v>44580</v>
      </c>
      <c r="I157" t="str">
        <f>VLOOKUP(B157,patients!$A:$K,11,FALSE)</f>
        <v>michael.wilson@mail.com</v>
      </c>
      <c r="J157" t="s">
        <v>54</v>
      </c>
      <c r="K157" t="str">
        <f>VLOOKUP(J157,doctors!$A:$H,2,FALSE)&amp;" "&amp;VLOOKUP(J157,doctors!$A:$H,3,FALSE)</f>
        <v>Linda Brown</v>
      </c>
      <c r="L157" t="str">
        <f>VLOOKUP(J157,doctors!$A:$H,4,FALSE)</f>
        <v>Dermatology</v>
      </c>
      <c r="M157">
        <f>VLOOKUP(J157,doctors!$A:$H,5,FALSE)</f>
        <v>9069162601</v>
      </c>
      <c r="N157" t="str">
        <f>VLOOKUP(J157,doctors!$A:$H,7,FALSE)</f>
        <v>Westside Clinic</v>
      </c>
      <c r="O157" s="1">
        <v>45252</v>
      </c>
      <c r="P157" s="2">
        <v>0.60416666666666663</v>
      </c>
      <c r="Q157" t="s">
        <v>10</v>
      </c>
      <c r="R157" t="s">
        <v>41</v>
      </c>
      <c r="S157" t="s">
        <v>593</v>
      </c>
      <c r="T157" t="s">
        <v>431</v>
      </c>
      <c r="U157" s="3">
        <v>4964.71</v>
      </c>
      <c r="V157" s="1">
        <v>45252</v>
      </c>
      <c r="W157" t="s">
        <v>804</v>
      </c>
      <c r="X157" s="1">
        <v>45252</v>
      </c>
      <c r="Y157" s="3">
        <v>4964.71</v>
      </c>
      <c r="Z157" t="s">
        <v>652</v>
      </c>
      <c r="AA157" t="s">
        <v>650</v>
      </c>
    </row>
    <row r="158" spans="1:27" x14ac:dyDescent="0.35">
      <c r="A158" t="s">
        <v>228</v>
      </c>
      <c r="B158" t="s">
        <v>84</v>
      </c>
      <c r="C158" t="str">
        <f>VLOOKUP(B158,patients!$A:$K,2,FALSE)&amp;" "&amp;VLOOKUP('HOSPITAL MANAGEMENT DATA'!B158,patients!$A:$K,3,FALSE)</f>
        <v>Michael Wilson</v>
      </c>
      <c r="D158" t="str">
        <f>VLOOKUP(B158,patients!$A:$K,4,FALSE)</f>
        <v>M</v>
      </c>
      <c r="E158" s="1">
        <f>VLOOKUP(B158,patients!$A:$K,5,FALSE)</f>
        <v>35790</v>
      </c>
      <c r="F158">
        <f>VLOOKUP(B158,patients!$A:$K,6,FALSE)</f>
        <v>8545613046</v>
      </c>
      <c r="G158" t="str">
        <f>VLOOKUP(B158,patients!$A:$K,7,FALSE)</f>
        <v>123 Elm St</v>
      </c>
      <c r="H158" s="1">
        <f>VLOOKUP(B158,patients!$A:$K,8,FALSE)</f>
        <v>44838</v>
      </c>
      <c r="I158" t="str">
        <f>VLOOKUP(B158,patients!$A:$K,11,FALSE)</f>
        <v>michael.wilson@mail.com</v>
      </c>
      <c r="J158" t="s">
        <v>32</v>
      </c>
      <c r="K158" t="str">
        <f>VLOOKUP(J158,doctors!$A:$H,2,FALSE)&amp;" "&amp;VLOOKUP(J158,doctors!$A:$H,3,FALSE)</f>
        <v>Robert Davis</v>
      </c>
      <c r="L158" t="str">
        <f>VLOOKUP(J158,doctors!$A:$H,4,FALSE)</f>
        <v>Oncology</v>
      </c>
      <c r="M158">
        <f>VLOOKUP(J158,doctors!$A:$H,5,FALSE)</f>
        <v>8217493115</v>
      </c>
      <c r="N158" t="str">
        <f>VLOOKUP(J158,doctors!$A:$H,7,FALSE)</f>
        <v>Westside Clinic</v>
      </c>
      <c r="O158" s="1">
        <v>45058</v>
      </c>
      <c r="P158" s="2">
        <v>0.45833333333333331</v>
      </c>
      <c r="Q158" t="s">
        <v>38</v>
      </c>
      <c r="R158" t="s">
        <v>41</v>
      </c>
      <c r="S158" t="s">
        <v>594</v>
      </c>
      <c r="T158" t="s">
        <v>444</v>
      </c>
      <c r="U158" s="3">
        <v>4331.41</v>
      </c>
      <c r="V158" s="1">
        <v>45058</v>
      </c>
      <c r="W158" t="s">
        <v>805</v>
      </c>
      <c r="X158" s="1">
        <v>45058</v>
      </c>
      <c r="Y158" s="3">
        <v>4331.41</v>
      </c>
      <c r="Z158" t="s">
        <v>644</v>
      </c>
      <c r="AA158" t="s">
        <v>650</v>
      </c>
    </row>
    <row r="159" spans="1:27" x14ac:dyDescent="0.35">
      <c r="A159" t="s">
        <v>229</v>
      </c>
      <c r="B159" t="s">
        <v>90</v>
      </c>
      <c r="C159" t="str">
        <f>VLOOKUP(B159,patients!$A:$K,2,FALSE)&amp;" "&amp;VLOOKUP('HOSPITAL MANAGEMENT DATA'!B159,patients!$A:$K,3,FALSE)</f>
        <v>Linda Johnson</v>
      </c>
      <c r="D159" t="str">
        <f>VLOOKUP(B159,patients!$A:$K,4,FALSE)</f>
        <v>M</v>
      </c>
      <c r="E159" s="1">
        <f>VLOOKUP(B159,patients!$A:$K,5,FALSE)</f>
        <v>34387</v>
      </c>
      <c r="F159">
        <f>VLOOKUP(B159,patients!$A:$K,6,FALSE)</f>
        <v>6141951830</v>
      </c>
      <c r="G159" t="str">
        <f>VLOOKUP(B159,patients!$A:$K,7,FALSE)</f>
        <v>789 Pine Rd</v>
      </c>
      <c r="H159" s="1">
        <f>VLOOKUP(B159,patients!$A:$K,8,FALSE)</f>
        <v>44557</v>
      </c>
      <c r="I159" t="str">
        <f>VLOOKUP(B159,patients!$A:$K,11,FALSE)</f>
        <v>linda.johnson@mail.com</v>
      </c>
      <c r="J159" t="s">
        <v>35</v>
      </c>
      <c r="K159" t="str">
        <f>VLOOKUP(J159,doctors!$A:$H,2,FALSE)&amp;" "&amp;VLOOKUP(J159,doctors!$A:$H,3,FALSE)</f>
        <v>Linda Wilson</v>
      </c>
      <c r="L159" t="str">
        <f>VLOOKUP(J159,doctors!$A:$H,4,FALSE)</f>
        <v>Oncology</v>
      </c>
      <c r="M159">
        <f>VLOOKUP(J159,doctors!$A:$H,5,FALSE)</f>
        <v>6176383634</v>
      </c>
      <c r="N159" t="str">
        <f>VLOOKUP(J159,doctors!$A:$H,7,FALSE)</f>
        <v>Eastside Clinic</v>
      </c>
      <c r="O159" s="1">
        <v>45119</v>
      </c>
      <c r="P159" s="2">
        <v>0.51041666666666663</v>
      </c>
      <c r="Q159" t="s">
        <v>29</v>
      </c>
      <c r="R159" t="s">
        <v>41</v>
      </c>
      <c r="S159" t="s">
        <v>595</v>
      </c>
      <c r="T159" t="s">
        <v>431</v>
      </c>
      <c r="U159" s="3">
        <v>1438.3</v>
      </c>
      <c r="V159" s="1">
        <v>45119</v>
      </c>
      <c r="W159" t="s">
        <v>806</v>
      </c>
      <c r="X159" s="1">
        <v>45119</v>
      </c>
      <c r="Y159" s="3">
        <v>1438.3</v>
      </c>
      <c r="Z159" t="s">
        <v>652</v>
      </c>
      <c r="AA159" t="s">
        <v>647</v>
      </c>
    </row>
    <row r="160" spans="1:27" x14ac:dyDescent="0.35">
      <c r="A160" t="s">
        <v>230</v>
      </c>
      <c r="B160" t="s">
        <v>34</v>
      </c>
      <c r="C160" t="str">
        <f>VLOOKUP(B160,patients!$A:$K,2,FALSE)&amp;" "&amp;VLOOKUP('HOSPITAL MANAGEMENT DATA'!B160,patients!$A:$K,3,FALSE)</f>
        <v>Michael Taylor</v>
      </c>
      <c r="D160" t="str">
        <f>VLOOKUP(B160,patients!$A:$K,4,FALSE)</f>
        <v>M</v>
      </c>
      <c r="E160" s="1">
        <f>VLOOKUP(B160,patients!$A:$K,5,FALSE)</f>
        <v>36729</v>
      </c>
      <c r="F160">
        <f>VLOOKUP(B160,patients!$A:$K,6,FALSE)</f>
        <v>7223380592</v>
      </c>
      <c r="G160" t="str">
        <f>VLOOKUP(B160,patients!$A:$K,7,FALSE)</f>
        <v>789 Pine Rd</v>
      </c>
      <c r="H160" s="1">
        <f>VLOOKUP(B160,patients!$A:$K,8,FALSE)</f>
        <v>44400</v>
      </c>
      <c r="I160" t="str">
        <f>VLOOKUP(B160,patients!$A:$K,11,FALSE)</f>
        <v>michael.taylor@mail.com</v>
      </c>
      <c r="J160" t="s">
        <v>25</v>
      </c>
      <c r="K160" t="str">
        <f>VLOOKUP(J160,doctors!$A:$H,2,FALSE)&amp;" "&amp;VLOOKUP(J160,doctors!$A:$H,3,FALSE)</f>
        <v>Jane Smith</v>
      </c>
      <c r="L160" t="str">
        <f>VLOOKUP(J160,doctors!$A:$H,4,FALSE)</f>
        <v>Pediatrics</v>
      </c>
      <c r="M160">
        <f>VLOOKUP(J160,doctors!$A:$H,5,FALSE)</f>
        <v>8737740598</v>
      </c>
      <c r="N160" t="str">
        <f>VLOOKUP(J160,doctors!$A:$H,7,FALSE)</f>
        <v>Eastside Clinic</v>
      </c>
      <c r="O160" s="1">
        <v>45024</v>
      </c>
      <c r="P160" s="2">
        <v>0.67708333333333337</v>
      </c>
      <c r="Q160" t="s">
        <v>26</v>
      </c>
      <c r="R160" t="s">
        <v>15</v>
      </c>
      <c r="S160" t="s">
        <v>596</v>
      </c>
      <c r="T160" t="s">
        <v>431</v>
      </c>
      <c r="U160" s="3">
        <v>4687.68</v>
      </c>
      <c r="V160" s="1">
        <v>45024</v>
      </c>
      <c r="W160" t="s">
        <v>807</v>
      </c>
      <c r="X160" s="1">
        <v>45024</v>
      </c>
      <c r="Y160" s="3">
        <v>4687.68</v>
      </c>
      <c r="Z160" t="s">
        <v>652</v>
      </c>
      <c r="AA160" t="s">
        <v>645</v>
      </c>
    </row>
    <row r="161" spans="1:27" x14ac:dyDescent="0.35">
      <c r="A161" t="s">
        <v>231</v>
      </c>
      <c r="B161" t="s">
        <v>37</v>
      </c>
      <c r="C161" t="str">
        <f>VLOOKUP(B161,patients!$A:$K,2,FALSE)&amp;" "&amp;VLOOKUP('HOSPITAL MANAGEMENT DATA'!B161,patients!$A:$K,3,FALSE)</f>
        <v>Jane Wilson</v>
      </c>
      <c r="D161" t="str">
        <f>VLOOKUP(B161,patients!$A:$K,4,FALSE)</f>
        <v>F</v>
      </c>
      <c r="E161" s="1">
        <f>VLOOKUP(B161,patients!$A:$K,5,FALSE)</f>
        <v>18609</v>
      </c>
      <c r="F161">
        <f>VLOOKUP(B161,patients!$A:$K,6,FALSE)</f>
        <v>9271131338</v>
      </c>
      <c r="G161" t="str">
        <f>VLOOKUP(B161,patients!$A:$K,7,FALSE)</f>
        <v>789 Pine Rd</v>
      </c>
      <c r="H161" s="1">
        <f>VLOOKUP(B161,patients!$A:$K,8,FALSE)</f>
        <v>44264</v>
      </c>
      <c r="I161" t="str">
        <f>VLOOKUP(B161,patients!$A:$K,11,FALSE)</f>
        <v>jane.wilson@mail.com</v>
      </c>
      <c r="J161" t="s">
        <v>59</v>
      </c>
      <c r="K161" t="str">
        <f>VLOOKUP(J161,doctors!$A:$H,2,FALSE)&amp;" "&amp;VLOOKUP(J161,doctors!$A:$H,3,FALSE)</f>
        <v>David Taylor</v>
      </c>
      <c r="L161" t="str">
        <f>VLOOKUP(J161,doctors!$A:$H,4,FALSE)</f>
        <v>Dermatology</v>
      </c>
      <c r="M161">
        <f>VLOOKUP(J161,doctors!$A:$H,5,FALSE)</f>
        <v>8322010158</v>
      </c>
      <c r="N161" t="str">
        <f>VLOOKUP(J161,doctors!$A:$H,7,FALSE)</f>
        <v>Westside Clinic</v>
      </c>
      <c r="O161" s="1">
        <v>45277</v>
      </c>
      <c r="P161" s="2">
        <v>0.53125</v>
      </c>
      <c r="Q161" t="s">
        <v>26</v>
      </c>
      <c r="R161" t="s">
        <v>19</v>
      </c>
      <c r="S161" t="s">
        <v>597</v>
      </c>
      <c r="T161" t="s">
        <v>431</v>
      </c>
      <c r="U161" s="3">
        <v>1023.65</v>
      </c>
      <c r="V161" s="1">
        <v>45277</v>
      </c>
      <c r="W161" t="s">
        <v>808</v>
      </c>
      <c r="X161" s="1">
        <v>45277</v>
      </c>
      <c r="Y161" s="3">
        <v>1023.65</v>
      </c>
      <c r="Z161" t="s">
        <v>655</v>
      </c>
      <c r="AA161" t="s">
        <v>647</v>
      </c>
    </row>
    <row r="162" spans="1:27" x14ac:dyDescent="0.35">
      <c r="A162" t="s">
        <v>232</v>
      </c>
      <c r="B162" t="s">
        <v>28</v>
      </c>
      <c r="C162" t="str">
        <f>VLOOKUP(B162,patients!$A:$K,2,FALSE)&amp;" "&amp;VLOOKUP('HOSPITAL MANAGEMENT DATA'!B162,patients!$A:$K,3,FALSE)</f>
        <v>Linda Miller</v>
      </c>
      <c r="D162" t="str">
        <f>VLOOKUP(B162,patients!$A:$K,4,FALSE)</f>
        <v>F</v>
      </c>
      <c r="E162" s="1">
        <f>VLOOKUP(B162,patients!$A:$K,5,FALSE)</f>
        <v>24222</v>
      </c>
      <c r="F162">
        <f>VLOOKUP(B162,patients!$A:$K,6,FALSE)</f>
        <v>7579616535</v>
      </c>
      <c r="G162" t="str">
        <f>VLOOKUP(B162,patients!$A:$K,7,FALSE)</f>
        <v>321 Maple Dr</v>
      </c>
      <c r="H162" s="1">
        <f>VLOOKUP(B162,patients!$A:$K,8,FALSE)</f>
        <v>44219</v>
      </c>
      <c r="I162" t="str">
        <f>VLOOKUP(B162,patients!$A:$K,11,FALSE)</f>
        <v>linda.miller@mail.com</v>
      </c>
      <c r="J162" t="s">
        <v>74</v>
      </c>
      <c r="K162" t="str">
        <f>VLOOKUP(J162,doctors!$A:$H,2,FALSE)&amp;" "&amp;VLOOKUP(J162,doctors!$A:$H,3,FALSE)</f>
        <v>Sarah Taylor</v>
      </c>
      <c r="L162" t="str">
        <f>VLOOKUP(J162,doctors!$A:$H,4,FALSE)</f>
        <v>Dermatology</v>
      </c>
      <c r="M162">
        <f>VLOOKUP(J162,doctors!$A:$H,5,FALSE)</f>
        <v>9118538547</v>
      </c>
      <c r="N162" t="str">
        <f>VLOOKUP(J162,doctors!$A:$H,7,FALSE)</f>
        <v>Central Hospital</v>
      </c>
      <c r="O162" s="1">
        <v>45094</v>
      </c>
      <c r="P162" s="2">
        <v>0.44791666666666669</v>
      </c>
      <c r="Q162" t="s">
        <v>18</v>
      </c>
      <c r="R162" t="s">
        <v>11</v>
      </c>
      <c r="S162" t="s">
        <v>598</v>
      </c>
      <c r="T162" t="s">
        <v>431</v>
      </c>
      <c r="U162" s="3">
        <v>4178.5200000000004</v>
      </c>
      <c r="V162" s="1">
        <v>45094</v>
      </c>
      <c r="W162" t="s">
        <v>809</v>
      </c>
      <c r="X162" s="1">
        <v>45094</v>
      </c>
      <c r="Y162" s="3">
        <v>4178.5200000000004</v>
      </c>
      <c r="Z162" t="s">
        <v>644</v>
      </c>
      <c r="AA162" t="s">
        <v>647</v>
      </c>
    </row>
    <row r="163" spans="1:27" x14ac:dyDescent="0.35">
      <c r="A163" t="s">
        <v>233</v>
      </c>
      <c r="B163" t="s">
        <v>234</v>
      </c>
      <c r="C163" t="str">
        <f>VLOOKUP(B163,patients!$A:$K,2,FALSE)&amp;" "&amp;VLOOKUP('HOSPITAL MANAGEMENT DATA'!B163,patients!$A:$K,3,FALSE)</f>
        <v>Jane Smith</v>
      </c>
      <c r="D163" t="str">
        <f>VLOOKUP(B163,patients!$A:$K,4,FALSE)</f>
        <v>F</v>
      </c>
      <c r="E163" s="1">
        <f>VLOOKUP(B163,patients!$A:$K,5,FALSE)</f>
        <v>19958</v>
      </c>
      <c r="F163">
        <f>VLOOKUP(B163,patients!$A:$K,6,FALSE)</f>
        <v>7040069008</v>
      </c>
      <c r="G163" t="str">
        <f>VLOOKUP(B163,patients!$A:$K,7,FALSE)</f>
        <v>789 Pine Rd</v>
      </c>
      <c r="H163" s="1">
        <f>VLOOKUP(B163,patients!$A:$K,8,FALSE)</f>
        <v>44635</v>
      </c>
      <c r="I163" t="str">
        <f>VLOOKUP(B163,patients!$A:$K,11,FALSE)</f>
        <v>jane.smith@mail.com</v>
      </c>
      <c r="J163" t="s">
        <v>14</v>
      </c>
      <c r="K163" t="str">
        <f>VLOOKUP(J163,doctors!$A:$H,2,FALSE)&amp;" "&amp;VLOOKUP(J163,doctors!$A:$H,3,FALSE)</f>
        <v>David Jones</v>
      </c>
      <c r="L163" t="str">
        <f>VLOOKUP(J163,doctors!$A:$H,4,FALSE)</f>
        <v>Pediatrics</v>
      </c>
      <c r="M163">
        <f>VLOOKUP(J163,doctors!$A:$H,5,FALSE)</f>
        <v>6594221991</v>
      </c>
      <c r="N163" t="str">
        <f>VLOOKUP(J163,doctors!$A:$H,7,FALSE)</f>
        <v>Central Hospital</v>
      </c>
      <c r="O163" s="1">
        <v>44927</v>
      </c>
      <c r="P163" s="2">
        <v>0.71875</v>
      </c>
      <c r="Q163" t="s">
        <v>26</v>
      </c>
      <c r="R163" t="s">
        <v>15</v>
      </c>
      <c r="S163" t="s">
        <v>599</v>
      </c>
      <c r="T163" t="s">
        <v>431</v>
      </c>
      <c r="U163" s="3">
        <v>2212.8000000000002</v>
      </c>
      <c r="V163" s="1">
        <v>44927</v>
      </c>
      <c r="W163" t="s">
        <v>810</v>
      </c>
      <c r="X163" s="1">
        <v>44927</v>
      </c>
      <c r="Y163" s="3">
        <v>2212.8000000000002</v>
      </c>
      <c r="Z163" t="s">
        <v>655</v>
      </c>
      <c r="AA163" t="s">
        <v>647</v>
      </c>
    </row>
    <row r="164" spans="1:27" x14ac:dyDescent="0.35">
      <c r="A164" t="s">
        <v>235</v>
      </c>
      <c r="B164" t="s">
        <v>37</v>
      </c>
      <c r="C164" t="str">
        <f>VLOOKUP(B164,patients!$A:$K,2,FALSE)&amp;" "&amp;VLOOKUP('HOSPITAL MANAGEMENT DATA'!B164,patients!$A:$K,3,FALSE)</f>
        <v>Jane Wilson</v>
      </c>
      <c r="D164" t="str">
        <f>VLOOKUP(B164,patients!$A:$K,4,FALSE)</f>
        <v>F</v>
      </c>
      <c r="E164" s="1">
        <f>VLOOKUP(B164,patients!$A:$K,5,FALSE)</f>
        <v>18609</v>
      </c>
      <c r="F164">
        <f>VLOOKUP(B164,patients!$A:$K,6,FALSE)</f>
        <v>9271131338</v>
      </c>
      <c r="G164" t="str">
        <f>VLOOKUP(B164,patients!$A:$K,7,FALSE)</f>
        <v>789 Pine Rd</v>
      </c>
      <c r="H164" s="1">
        <f>VLOOKUP(B164,patients!$A:$K,8,FALSE)</f>
        <v>44264</v>
      </c>
      <c r="I164" t="str">
        <f>VLOOKUP(B164,patients!$A:$K,11,FALSE)</f>
        <v>jane.wilson@mail.com</v>
      </c>
      <c r="J164" t="s">
        <v>35</v>
      </c>
      <c r="K164" t="str">
        <f>VLOOKUP(J164,doctors!$A:$H,2,FALSE)&amp;" "&amp;VLOOKUP(J164,doctors!$A:$H,3,FALSE)</f>
        <v>Linda Wilson</v>
      </c>
      <c r="L164" t="str">
        <f>VLOOKUP(J164,doctors!$A:$H,4,FALSE)</f>
        <v>Oncology</v>
      </c>
      <c r="M164">
        <f>VLOOKUP(J164,doctors!$A:$H,5,FALSE)</f>
        <v>6176383634</v>
      </c>
      <c r="N164" t="str">
        <f>VLOOKUP(J164,doctors!$A:$H,7,FALSE)</f>
        <v>Eastside Clinic</v>
      </c>
      <c r="O164" s="1">
        <v>45104</v>
      </c>
      <c r="P164" s="2">
        <v>0.625</v>
      </c>
      <c r="Q164" t="s">
        <v>10</v>
      </c>
      <c r="R164" t="s">
        <v>15</v>
      </c>
      <c r="S164" t="s">
        <v>600</v>
      </c>
      <c r="T164" t="s">
        <v>456</v>
      </c>
      <c r="U164" s="3">
        <v>4450.88</v>
      </c>
      <c r="V164" s="1">
        <v>45104</v>
      </c>
      <c r="W164" t="s">
        <v>811</v>
      </c>
      <c r="X164" s="1">
        <v>45104</v>
      </c>
      <c r="Y164" s="3">
        <v>4450.88</v>
      </c>
      <c r="Z164" t="s">
        <v>644</v>
      </c>
      <c r="AA164" t="s">
        <v>645</v>
      </c>
    </row>
    <row r="165" spans="1:27" x14ac:dyDescent="0.35">
      <c r="A165" t="s">
        <v>236</v>
      </c>
      <c r="B165" t="s">
        <v>61</v>
      </c>
      <c r="C165" t="str">
        <f>VLOOKUP(B165,patients!$A:$K,2,FALSE)&amp;" "&amp;VLOOKUP('HOSPITAL MANAGEMENT DATA'!B165,patients!$A:$K,3,FALSE)</f>
        <v>Alex Taylor</v>
      </c>
      <c r="D165" t="str">
        <f>VLOOKUP(B165,patients!$A:$K,4,FALSE)</f>
        <v>M</v>
      </c>
      <c r="E165" s="1">
        <f>VLOOKUP(B165,patients!$A:$K,5,FALSE)</f>
        <v>24895</v>
      </c>
      <c r="F165">
        <f>VLOOKUP(B165,patients!$A:$K,6,FALSE)</f>
        <v>7292262512</v>
      </c>
      <c r="G165" t="str">
        <f>VLOOKUP(B165,patients!$A:$K,7,FALSE)</f>
        <v>789 Pine Rd</v>
      </c>
      <c r="H165" s="1">
        <f>VLOOKUP(B165,patients!$A:$K,8,FALSE)</f>
        <v>45272</v>
      </c>
      <c r="I165" t="str">
        <f>VLOOKUP(B165,patients!$A:$K,11,FALSE)</f>
        <v>alex.taylor@mail.com</v>
      </c>
      <c r="J165" t="s">
        <v>54</v>
      </c>
      <c r="K165" t="str">
        <f>VLOOKUP(J165,doctors!$A:$H,2,FALSE)&amp;" "&amp;VLOOKUP(J165,doctors!$A:$H,3,FALSE)</f>
        <v>Linda Brown</v>
      </c>
      <c r="L165" t="str">
        <f>VLOOKUP(J165,doctors!$A:$H,4,FALSE)</f>
        <v>Dermatology</v>
      </c>
      <c r="M165">
        <f>VLOOKUP(J165,doctors!$A:$H,5,FALSE)</f>
        <v>9069162601</v>
      </c>
      <c r="N165" t="str">
        <f>VLOOKUP(J165,doctors!$A:$H,7,FALSE)</f>
        <v>Westside Clinic</v>
      </c>
      <c r="O165" s="1">
        <v>45135</v>
      </c>
      <c r="P165" s="2">
        <v>0.71875</v>
      </c>
      <c r="Q165" t="s">
        <v>10</v>
      </c>
      <c r="R165" t="s">
        <v>19</v>
      </c>
      <c r="S165" t="s">
        <v>601</v>
      </c>
      <c r="T165" t="s">
        <v>440</v>
      </c>
      <c r="U165" s="3">
        <v>4406.26</v>
      </c>
      <c r="V165" s="1">
        <v>45135</v>
      </c>
      <c r="W165" t="s">
        <v>812</v>
      </c>
      <c r="X165" s="1">
        <v>45135</v>
      </c>
      <c r="Y165" s="3">
        <v>4406.26</v>
      </c>
      <c r="Z165" t="s">
        <v>652</v>
      </c>
      <c r="AA165" t="s">
        <v>650</v>
      </c>
    </row>
    <row r="166" spans="1:27" x14ac:dyDescent="0.35">
      <c r="A166" t="s">
        <v>237</v>
      </c>
      <c r="B166" t="s">
        <v>97</v>
      </c>
      <c r="C166" t="str">
        <f>VLOOKUP(B166,patients!$A:$K,2,FALSE)&amp;" "&amp;VLOOKUP('HOSPITAL MANAGEMENT DATA'!B166,patients!$A:$K,3,FALSE)</f>
        <v>Robert Miller</v>
      </c>
      <c r="D166" t="str">
        <f>VLOOKUP(B166,patients!$A:$K,4,FALSE)</f>
        <v>M</v>
      </c>
      <c r="E166" s="1">
        <f>VLOOKUP(B166,patients!$A:$K,5,FALSE)</f>
        <v>31791</v>
      </c>
      <c r="F166">
        <f>VLOOKUP(B166,patients!$A:$K,6,FALSE)</f>
        <v>8280346676</v>
      </c>
      <c r="G166" t="str">
        <f>VLOOKUP(B166,patients!$A:$K,7,FALSE)</f>
        <v>321 Maple Dr</v>
      </c>
      <c r="H166" s="1">
        <f>VLOOKUP(B166,patients!$A:$K,8,FALSE)</f>
        <v>44740</v>
      </c>
      <c r="I166" t="str">
        <f>VLOOKUP(B166,patients!$A:$K,11,FALSE)</f>
        <v>robert.miller@mail.com</v>
      </c>
      <c r="J166" t="s">
        <v>59</v>
      </c>
      <c r="K166" t="str">
        <f>VLOOKUP(J166,doctors!$A:$H,2,FALSE)&amp;" "&amp;VLOOKUP(J166,doctors!$A:$H,3,FALSE)</f>
        <v>David Taylor</v>
      </c>
      <c r="L166" t="str">
        <f>VLOOKUP(J166,doctors!$A:$H,4,FALSE)</f>
        <v>Dermatology</v>
      </c>
      <c r="M166">
        <f>VLOOKUP(J166,doctors!$A:$H,5,FALSE)</f>
        <v>8322010158</v>
      </c>
      <c r="N166" t="str">
        <f>VLOOKUP(J166,doctors!$A:$H,7,FALSE)</f>
        <v>Westside Clinic</v>
      </c>
      <c r="O166" s="1">
        <v>45020</v>
      </c>
      <c r="P166" s="2">
        <v>0.64583333333333337</v>
      </c>
      <c r="Q166" t="s">
        <v>18</v>
      </c>
      <c r="R166" t="s">
        <v>19</v>
      </c>
      <c r="S166" t="s">
        <v>602</v>
      </c>
      <c r="T166" t="s">
        <v>434</v>
      </c>
      <c r="U166" s="3">
        <v>4126.66</v>
      </c>
      <c r="V166" s="1">
        <v>45020</v>
      </c>
      <c r="W166" t="s">
        <v>813</v>
      </c>
      <c r="X166" s="1">
        <v>45020</v>
      </c>
      <c r="Y166" s="3">
        <v>4126.66</v>
      </c>
      <c r="Z166" t="s">
        <v>655</v>
      </c>
      <c r="AA166" t="s">
        <v>650</v>
      </c>
    </row>
    <row r="167" spans="1:27" x14ac:dyDescent="0.35">
      <c r="A167" t="s">
        <v>238</v>
      </c>
      <c r="B167" t="s">
        <v>40</v>
      </c>
      <c r="C167" t="str">
        <f>VLOOKUP(B167,patients!$A:$K,2,FALSE)&amp;" "&amp;VLOOKUP('HOSPITAL MANAGEMENT DATA'!B167,patients!$A:$K,3,FALSE)</f>
        <v>David Wilson</v>
      </c>
      <c r="D167" t="str">
        <f>VLOOKUP(B167,patients!$A:$K,4,FALSE)</f>
        <v>M</v>
      </c>
      <c r="E167" s="1">
        <f>VLOOKUP(B167,patients!$A:$K,5,FALSE)</f>
        <v>22090</v>
      </c>
      <c r="F167">
        <f>VLOOKUP(B167,patients!$A:$K,6,FALSE)</f>
        <v>7734463155</v>
      </c>
      <c r="G167" t="str">
        <f>VLOOKUP(B167,patients!$A:$K,7,FALSE)</f>
        <v>123 Elm St</v>
      </c>
      <c r="H167" s="1">
        <f>VLOOKUP(B167,patients!$A:$K,8,FALSE)</f>
        <v>44468</v>
      </c>
      <c r="I167" t="str">
        <f>VLOOKUP(B167,patients!$A:$K,11,FALSE)</f>
        <v>david.wilson@mail.com</v>
      </c>
      <c r="J167" t="s">
        <v>35</v>
      </c>
      <c r="K167" t="str">
        <f>VLOOKUP(J167,doctors!$A:$H,2,FALSE)&amp;" "&amp;VLOOKUP(J167,doctors!$A:$H,3,FALSE)</f>
        <v>Linda Wilson</v>
      </c>
      <c r="L167" t="str">
        <f>VLOOKUP(J167,doctors!$A:$H,4,FALSE)</f>
        <v>Oncology</v>
      </c>
      <c r="M167">
        <f>VLOOKUP(J167,doctors!$A:$H,5,FALSE)</f>
        <v>6176383634</v>
      </c>
      <c r="N167" t="str">
        <f>VLOOKUP(J167,doctors!$A:$H,7,FALSE)</f>
        <v>Eastside Clinic</v>
      </c>
      <c r="O167" s="1">
        <v>44938</v>
      </c>
      <c r="P167" s="2">
        <v>0.61458333333333337</v>
      </c>
      <c r="Q167" t="s">
        <v>10</v>
      </c>
      <c r="R167" t="s">
        <v>15</v>
      </c>
      <c r="S167" t="s">
        <v>603</v>
      </c>
      <c r="T167" t="s">
        <v>440</v>
      </c>
      <c r="U167" s="3">
        <v>4055.14</v>
      </c>
      <c r="V167" s="1">
        <v>44938</v>
      </c>
      <c r="W167" t="s">
        <v>814</v>
      </c>
      <c r="X167" s="1">
        <v>44938</v>
      </c>
      <c r="Y167" s="3">
        <v>4055.14</v>
      </c>
      <c r="Z167" t="s">
        <v>655</v>
      </c>
      <c r="AA167" t="s">
        <v>650</v>
      </c>
    </row>
    <row r="168" spans="1:27" x14ac:dyDescent="0.35">
      <c r="A168" t="s">
        <v>239</v>
      </c>
      <c r="B168" t="s">
        <v>125</v>
      </c>
      <c r="C168" t="str">
        <f>VLOOKUP(B168,patients!$A:$K,2,FALSE)&amp;" "&amp;VLOOKUP('HOSPITAL MANAGEMENT DATA'!B168,patients!$A:$K,3,FALSE)</f>
        <v>David Wilson</v>
      </c>
      <c r="D168" t="str">
        <f>VLOOKUP(B168,patients!$A:$K,4,FALSE)</f>
        <v>F</v>
      </c>
      <c r="E168" s="1">
        <f>VLOOKUP(B168,patients!$A:$K,5,FALSE)</f>
        <v>34072</v>
      </c>
      <c r="F168">
        <f>VLOOKUP(B168,patients!$A:$K,6,FALSE)</f>
        <v>7039619487</v>
      </c>
      <c r="G168" t="str">
        <f>VLOOKUP(B168,patients!$A:$K,7,FALSE)</f>
        <v>123 Elm St</v>
      </c>
      <c r="H168" s="1">
        <f>VLOOKUP(B168,patients!$A:$K,8,FALSE)</f>
        <v>45116</v>
      </c>
      <c r="I168" t="str">
        <f>VLOOKUP(B168,patients!$A:$K,11,FALSE)</f>
        <v>david.wilson@mail.com</v>
      </c>
      <c r="J168" t="s">
        <v>59</v>
      </c>
      <c r="K168" t="str">
        <f>VLOOKUP(J168,doctors!$A:$H,2,FALSE)&amp;" "&amp;VLOOKUP(J168,doctors!$A:$H,3,FALSE)</f>
        <v>David Taylor</v>
      </c>
      <c r="L168" t="str">
        <f>VLOOKUP(J168,doctors!$A:$H,4,FALSE)</f>
        <v>Dermatology</v>
      </c>
      <c r="M168">
        <f>VLOOKUP(J168,doctors!$A:$H,5,FALSE)</f>
        <v>8322010158</v>
      </c>
      <c r="N168" t="str">
        <f>VLOOKUP(J168,doctors!$A:$H,7,FALSE)</f>
        <v>Westside Clinic</v>
      </c>
      <c r="O168" s="1">
        <v>45245</v>
      </c>
      <c r="P168" s="2">
        <v>0.34375</v>
      </c>
      <c r="Q168" t="s">
        <v>38</v>
      </c>
      <c r="R168" t="s">
        <v>11</v>
      </c>
      <c r="S168" t="s">
        <v>604</v>
      </c>
      <c r="T168" t="s">
        <v>431</v>
      </c>
      <c r="U168" s="3">
        <v>1871.06</v>
      </c>
      <c r="V168" s="1">
        <v>45245</v>
      </c>
      <c r="W168" t="s">
        <v>815</v>
      </c>
      <c r="X168" s="1">
        <v>45245</v>
      </c>
      <c r="Y168" s="3">
        <v>1871.06</v>
      </c>
      <c r="Z168" t="s">
        <v>652</v>
      </c>
      <c r="AA168" t="s">
        <v>645</v>
      </c>
    </row>
    <row r="169" spans="1:27" x14ac:dyDescent="0.35">
      <c r="A169" t="s">
        <v>240</v>
      </c>
      <c r="B169" t="s">
        <v>90</v>
      </c>
      <c r="C169" t="str">
        <f>VLOOKUP(B169,patients!$A:$K,2,FALSE)&amp;" "&amp;VLOOKUP('HOSPITAL MANAGEMENT DATA'!B169,patients!$A:$K,3,FALSE)</f>
        <v>Linda Johnson</v>
      </c>
      <c r="D169" t="str">
        <f>VLOOKUP(B169,patients!$A:$K,4,FALSE)</f>
        <v>M</v>
      </c>
      <c r="E169" s="1">
        <f>VLOOKUP(B169,patients!$A:$K,5,FALSE)</f>
        <v>34387</v>
      </c>
      <c r="F169">
        <f>VLOOKUP(B169,patients!$A:$K,6,FALSE)</f>
        <v>6141951830</v>
      </c>
      <c r="G169" t="str">
        <f>VLOOKUP(B169,patients!$A:$K,7,FALSE)</f>
        <v>789 Pine Rd</v>
      </c>
      <c r="H169" s="1">
        <f>VLOOKUP(B169,patients!$A:$K,8,FALSE)</f>
        <v>44557</v>
      </c>
      <c r="I169" t="str">
        <f>VLOOKUP(B169,patients!$A:$K,11,FALSE)</f>
        <v>linda.johnson@mail.com</v>
      </c>
      <c r="J169" t="s">
        <v>14</v>
      </c>
      <c r="K169" t="str">
        <f>VLOOKUP(J169,doctors!$A:$H,2,FALSE)&amp;" "&amp;VLOOKUP(J169,doctors!$A:$H,3,FALSE)</f>
        <v>David Jones</v>
      </c>
      <c r="L169" t="str">
        <f>VLOOKUP(J169,doctors!$A:$H,4,FALSE)</f>
        <v>Pediatrics</v>
      </c>
      <c r="M169">
        <f>VLOOKUP(J169,doctors!$A:$H,5,FALSE)</f>
        <v>6594221991</v>
      </c>
      <c r="N169" t="str">
        <f>VLOOKUP(J169,doctors!$A:$H,7,FALSE)</f>
        <v>Central Hospital</v>
      </c>
      <c r="O169" s="1">
        <v>45198</v>
      </c>
      <c r="P169" s="2">
        <v>0.41666666666666669</v>
      </c>
      <c r="Q169" t="s">
        <v>18</v>
      </c>
      <c r="R169" t="s">
        <v>15</v>
      </c>
      <c r="S169" t="s">
        <v>605</v>
      </c>
      <c r="T169" t="s">
        <v>456</v>
      </c>
      <c r="U169" s="3">
        <v>864.14</v>
      </c>
      <c r="V169" s="1">
        <v>45198</v>
      </c>
      <c r="W169" t="s">
        <v>816</v>
      </c>
      <c r="X169" s="1">
        <v>45198</v>
      </c>
      <c r="Y169" s="3">
        <v>864.14</v>
      </c>
      <c r="Z169" t="s">
        <v>652</v>
      </c>
      <c r="AA169" t="s">
        <v>650</v>
      </c>
    </row>
    <row r="170" spans="1:27" x14ac:dyDescent="0.35">
      <c r="A170" t="s">
        <v>241</v>
      </c>
      <c r="B170" t="s">
        <v>45</v>
      </c>
      <c r="C170" t="str">
        <f>VLOOKUP(B170,patients!$A:$K,2,FALSE)&amp;" "&amp;VLOOKUP('HOSPITAL MANAGEMENT DATA'!B170,patients!$A:$K,3,FALSE)</f>
        <v>David Smith</v>
      </c>
      <c r="D170" t="str">
        <f>VLOOKUP(B170,patients!$A:$K,4,FALSE)</f>
        <v>M</v>
      </c>
      <c r="E170" s="1">
        <f>VLOOKUP(B170,patients!$A:$K,5,FALSE)</f>
        <v>38487</v>
      </c>
      <c r="F170">
        <f>VLOOKUP(B170,patients!$A:$K,6,FALSE)</f>
        <v>8923607677</v>
      </c>
      <c r="G170" t="str">
        <f>VLOOKUP(B170,patients!$A:$K,7,FALSE)</f>
        <v>789 Pine Rd</v>
      </c>
      <c r="H170" s="1">
        <f>VLOOKUP(B170,patients!$A:$K,8,FALSE)</f>
        <v>45035</v>
      </c>
      <c r="I170" t="str">
        <f>VLOOKUP(B170,patients!$A:$K,11,FALSE)</f>
        <v>david.smith@mail.com</v>
      </c>
      <c r="J170" t="s">
        <v>54</v>
      </c>
      <c r="K170" t="str">
        <f>VLOOKUP(J170,doctors!$A:$H,2,FALSE)&amp;" "&amp;VLOOKUP(J170,doctors!$A:$H,3,FALSE)</f>
        <v>Linda Brown</v>
      </c>
      <c r="L170" t="str">
        <f>VLOOKUP(J170,doctors!$A:$H,4,FALSE)</f>
        <v>Dermatology</v>
      </c>
      <c r="M170">
        <f>VLOOKUP(J170,doctors!$A:$H,5,FALSE)</f>
        <v>9069162601</v>
      </c>
      <c r="N170" t="str">
        <f>VLOOKUP(J170,doctors!$A:$H,7,FALSE)</f>
        <v>Westside Clinic</v>
      </c>
      <c r="O170" s="1">
        <v>45131</v>
      </c>
      <c r="P170" s="2">
        <v>0.69791666666666663</v>
      </c>
      <c r="Q170" t="s">
        <v>38</v>
      </c>
      <c r="R170" t="s">
        <v>19</v>
      </c>
      <c r="S170" t="s">
        <v>606</v>
      </c>
      <c r="T170" t="s">
        <v>444</v>
      </c>
      <c r="U170" s="3">
        <v>2313.41</v>
      </c>
      <c r="V170" s="1">
        <v>45131</v>
      </c>
      <c r="W170" t="s">
        <v>817</v>
      </c>
      <c r="X170" s="1">
        <v>45131</v>
      </c>
      <c r="Y170" s="3">
        <v>2313.41</v>
      </c>
      <c r="Z170" t="s">
        <v>652</v>
      </c>
      <c r="AA170" t="s">
        <v>645</v>
      </c>
    </row>
    <row r="171" spans="1:27" x14ac:dyDescent="0.35">
      <c r="A171" t="s">
        <v>242</v>
      </c>
      <c r="B171" t="s">
        <v>129</v>
      </c>
      <c r="C171" t="str">
        <f>VLOOKUP(B171,patients!$A:$K,2,FALSE)&amp;" "&amp;VLOOKUP('HOSPITAL MANAGEMENT DATA'!B171,patients!$A:$K,3,FALSE)</f>
        <v>Linda Brown</v>
      </c>
      <c r="D171" t="str">
        <f>VLOOKUP(B171,patients!$A:$K,4,FALSE)</f>
        <v>M</v>
      </c>
      <c r="E171" s="1">
        <f>VLOOKUP(B171,patients!$A:$K,5,FALSE)</f>
        <v>29305</v>
      </c>
      <c r="F171">
        <f>VLOOKUP(B171,patients!$A:$K,6,FALSE)</f>
        <v>9127665406</v>
      </c>
      <c r="G171" t="str">
        <f>VLOOKUP(B171,patients!$A:$K,7,FALSE)</f>
        <v>789 Pine Rd</v>
      </c>
      <c r="H171" s="1">
        <f>VLOOKUP(B171,patients!$A:$K,8,FALSE)</f>
        <v>44760</v>
      </c>
      <c r="I171" t="str">
        <f>VLOOKUP(B171,patients!$A:$K,11,FALSE)</f>
        <v>linda.brown@mail.com</v>
      </c>
      <c r="J171" t="s">
        <v>74</v>
      </c>
      <c r="K171" t="str">
        <f>VLOOKUP(J171,doctors!$A:$H,2,FALSE)&amp;" "&amp;VLOOKUP(J171,doctors!$A:$H,3,FALSE)</f>
        <v>Sarah Taylor</v>
      </c>
      <c r="L171" t="str">
        <f>VLOOKUP(J171,doctors!$A:$H,4,FALSE)</f>
        <v>Dermatology</v>
      </c>
      <c r="M171">
        <f>VLOOKUP(J171,doctors!$A:$H,5,FALSE)</f>
        <v>9118538547</v>
      </c>
      <c r="N171" t="str">
        <f>VLOOKUP(J171,doctors!$A:$H,7,FALSE)</f>
        <v>Central Hospital</v>
      </c>
      <c r="O171" s="1">
        <v>44988</v>
      </c>
      <c r="P171" s="2">
        <v>0.375</v>
      </c>
      <c r="Q171" t="s">
        <v>29</v>
      </c>
      <c r="R171" t="s">
        <v>11</v>
      </c>
      <c r="S171" t="s">
        <v>607</v>
      </c>
      <c r="T171" t="s">
        <v>456</v>
      </c>
      <c r="U171" s="3">
        <v>1280.8599999999999</v>
      </c>
      <c r="V171" s="1">
        <v>44988</v>
      </c>
      <c r="W171" t="s">
        <v>818</v>
      </c>
      <c r="X171" s="1">
        <v>44988</v>
      </c>
      <c r="Y171" s="3">
        <v>1280.8599999999999</v>
      </c>
      <c r="Z171" t="s">
        <v>655</v>
      </c>
      <c r="AA171" t="s">
        <v>650</v>
      </c>
    </row>
    <row r="172" spans="1:27" x14ac:dyDescent="0.35">
      <c r="A172" t="s">
        <v>243</v>
      </c>
      <c r="B172" t="s">
        <v>168</v>
      </c>
      <c r="C172" t="str">
        <f>VLOOKUP(B172,patients!$A:$K,2,FALSE)&amp;" "&amp;VLOOKUP('HOSPITAL MANAGEMENT DATA'!B172,patients!$A:$K,3,FALSE)</f>
        <v>Emily Jones</v>
      </c>
      <c r="D172" t="str">
        <f>VLOOKUP(B172,patients!$A:$K,4,FALSE)</f>
        <v>F</v>
      </c>
      <c r="E172" s="1">
        <f>VLOOKUP(B172,patients!$A:$K,5,FALSE)</f>
        <v>24445</v>
      </c>
      <c r="F172">
        <f>VLOOKUP(B172,patients!$A:$K,6,FALSE)</f>
        <v>8990604070</v>
      </c>
      <c r="G172" t="str">
        <f>VLOOKUP(B172,patients!$A:$K,7,FALSE)</f>
        <v>789 Pine Rd</v>
      </c>
      <c r="H172" s="1">
        <f>VLOOKUP(B172,patients!$A:$K,8,FALSE)</f>
        <v>44831</v>
      </c>
      <c r="I172" t="str">
        <f>VLOOKUP(B172,patients!$A:$K,11,FALSE)</f>
        <v>emily.jones@mail.com</v>
      </c>
      <c r="J172" t="s">
        <v>48</v>
      </c>
      <c r="K172" t="str">
        <f>VLOOKUP(J172,doctors!$A:$H,2,FALSE)&amp;" "&amp;VLOOKUP(J172,doctors!$A:$H,3,FALSE)</f>
        <v>Jane Davis</v>
      </c>
      <c r="L172" t="str">
        <f>VLOOKUP(J172,doctors!$A:$H,4,FALSE)</f>
        <v>Pediatrics</v>
      </c>
      <c r="M172">
        <f>VLOOKUP(J172,doctors!$A:$H,5,FALSE)</f>
        <v>9004382050</v>
      </c>
      <c r="N172" t="str">
        <f>VLOOKUP(J172,doctors!$A:$H,7,FALSE)</f>
        <v>Eastside Clinic</v>
      </c>
      <c r="O172" s="1">
        <v>45034</v>
      </c>
      <c r="P172" s="2">
        <v>0.6875</v>
      </c>
      <c r="Q172" t="s">
        <v>38</v>
      </c>
      <c r="R172" t="s">
        <v>19</v>
      </c>
      <c r="S172" t="s">
        <v>608</v>
      </c>
      <c r="T172" t="s">
        <v>431</v>
      </c>
      <c r="U172" s="3">
        <v>3627.28</v>
      </c>
      <c r="V172" s="1">
        <v>45034</v>
      </c>
      <c r="W172" t="s">
        <v>819</v>
      </c>
      <c r="X172" s="1">
        <v>45034</v>
      </c>
      <c r="Y172" s="3">
        <v>3627.28</v>
      </c>
      <c r="Z172" t="s">
        <v>644</v>
      </c>
      <c r="AA172" t="s">
        <v>650</v>
      </c>
    </row>
    <row r="173" spans="1:27" x14ac:dyDescent="0.35">
      <c r="A173" t="s">
        <v>244</v>
      </c>
      <c r="B173" t="s">
        <v>185</v>
      </c>
      <c r="C173" t="str">
        <f>VLOOKUP(B173,patients!$A:$K,2,FALSE)&amp;" "&amp;VLOOKUP('HOSPITAL MANAGEMENT DATA'!B173,patients!$A:$K,3,FALSE)</f>
        <v>Laura Wilson</v>
      </c>
      <c r="D173" t="str">
        <f>VLOOKUP(B173,patients!$A:$K,4,FALSE)</f>
        <v>M</v>
      </c>
      <c r="E173" s="1">
        <f>VLOOKUP(B173,patients!$A:$K,5,FALSE)</f>
        <v>29122</v>
      </c>
      <c r="F173">
        <f>VLOOKUP(B173,patients!$A:$K,6,FALSE)</f>
        <v>7145815738</v>
      </c>
      <c r="G173" t="str">
        <f>VLOOKUP(B173,patients!$A:$K,7,FALSE)</f>
        <v>789 Pine Rd</v>
      </c>
      <c r="H173" s="1">
        <f>VLOOKUP(B173,patients!$A:$K,8,FALSE)</f>
        <v>44827</v>
      </c>
      <c r="I173" t="str">
        <f>VLOOKUP(B173,patients!$A:$K,11,FALSE)</f>
        <v>laura.wilson@mail.com</v>
      </c>
      <c r="J173" t="s">
        <v>22</v>
      </c>
      <c r="K173" t="str">
        <f>VLOOKUP(J173,doctors!$A:$H,2,FALSE)&amp;" "&amp;VLOOKUP(J173,doctors!$A:$H,3,FALSE)</f>
        <v>Alex Davis</v>
      </c>
      <c r="L173" t="str">
        <f>VLOOKUP(J173,doctors!$A:$H,4,FALSE)</f>
        <v>Pediatrics</v>
      </c>
      <c r="M173">
        <f>VLOOKUP(J173,doctors!$A:$H,5,FALSE)</f>
        <v>6570137231</v>
      </c>
      <c r="N173" t="str">
        <f>VLOOKUP(J173,doctors!$A:$H,7,FALSE)</f>
        <v>Central Hospital</v>
      </c>
      <c r="O173" s="1">
        <v>44994</v>
      </c>
      <c r="P173" s="2">
        <v>0.67708333333333337</v>
      </c>
      <c r="Q173" t="s">
        <v>29</v>
      </c>
      <c r="R173" t="s">
        <v>11</v>
      </c>
      <c r="S173" t="s">
        <v>609</v>
      </c>
      <c r="T173" t="s">
        <v>456</v>
      </c>
      <c r="U173" s="3">
        <v>2057.4499999999998</v>
      </c>
      <c r="V173" s="1">
        <v>44994</v>
      </c>
      <c r="W173" t="s">
        <v>820</v>
      </c>
      <c r="X173" s="1">
        <v>44994</v>
      </c>
      <c r="Y173" s="3">
        <v>2057.4499999999998</v>
      </c>
      <c r="Z173" t="s">
        <v>655</v>
      </c>
      <c r="AA173" t="s">
        <v>647</v>
      </c>
    </row>
    <row r="174" spans="1:27" x14ac:dyDescent="0.35">
      <c r="A174" t="s">
        <v>245</v>
      </c>
      <c r="B174" t="s">
        <v>66</v>
      </c>
      <c r="C174" t="str">
        <f>VLOOKUP(B174,patients!$A:$K,2,FALSE)&amp;" "&amp;VLOOKUP('HOSPITAL MANAGEMENT DATA'!B174,patients!$A:$K,3,FALSE)</f>
        <v>Jane Moore</v>
      </c>
      <c r="D174" t="str">
        <f>VLOOKUP(B174,patients!$A:$K,4,FALSE)</f>
        <v>M</v>
      </c>
      <c r="E174" s="1">
        <f>VLOOKUP(B174,patients!$A:$K,5,FALSE)</f>
        <v>35046</v>
      </c>
      <c r="F174">
        <f>VLOOKUP(B174,patients!$A:$K,6,FALSE)</f>
        <v>8715732851</v>
      </c>
      <c r="G174" t="str">
        <f>VLOOKUP(B174,patients!$A:$K,7,FALSE)</f>
        <v>321 Maple Dr</v>
      </c>
      <c r="H174" s="1">
        <f>VLOOKUP(B174,patients!$A:$K,8,FALSE)</f>
        <v>44701</v>
      </c>
      <c r="I174" t="str">
        <f>VLOOKUP(B174,patients!$A:$K,11,FALSE)</f>
        <v>jane.moore@mail.com</v>
      </c>
      <c r="J174" t="s">
        <v>74</v>
      </c>
      <c r="K174" t="str">
        <f>VLOOKUP(J174,doctors!$A:$H,2,FALSE)&amp;" "&amp;VLOOKUP(J174,doctors!$A:$H,3,FALSE)</f>
        <v>Sarah Taylor</v>
      </c>
      <c r="L174" t="str">
        <f>VLOOKUP(J174,doctors!$A:$H,4,FALSE)</f>
        <v>Dermatology</v>
      </c>
      <c r="M174">
        <f>VLOOKUP(J174,doctors!$A:$H,5,FALSE)</f>
        <v>9118538547</v>
      </c>
      <c r="N174" t="str">
        <f>VLOOKUP(J174,doctors!$A:$H,7,FALSE)</f>
        <v>Central Hospital</v>
      </c>
      <c r="O174" s="1">
        <v>45081</v>
      </c>
      <c r="P174" s="2">
        <v>0.5625</v>
      </c>
      <c r="Q174" t="s">
        <v>29</v>
      </c>
      <c r="R174" t="s">
        <v>41</v>
      </c>
      <c r="S174" t="s">
        <v>610</v>
      </c>
      <c r="T174" t="s">
        <v>456</v>
      </c>
      <c r="U174" s="3">
        <v>4890.25</v>
      </c>
      <c r="V174" s="1">
        <v>45081</v>
      </c>
      <c r="W174" t="s">
        <v>821</v>
      </c>
      <c r="X174" s="1">
        <v>45081</v>
      </c>
      <c r="Y174" s="3">
        <v>4890.25</v>
      </c>
      <c r="Z174" t="s">
        <v>644</v>
      </c>
      <c r="AA174" t="s">
        <v>645</v>
      </c>
    </row>
    <row r="175" spans="1:27" x14ac:dyDescent="0.35">
      <c r="A175" t="s">
        <v>246</v>
      </c>
      <c r="B175" t="s">
        <v>50</v>
      </c>
      <c r="C175" t="str">
        <f>VLOOKUP(B175,patients!$A:$K,2,FALSE)&amp;" "&amp;VLOOKUP('HOSPITAL MANAGEMENT DATA'!B175,patients!$A:$K,3,FALSE)</f>
        <v>Laura Davis</v>
      </c>
      <c r="D175" t="str">
        <f>VLOOKUP(B175,patients!$A:$K,4,FALSE)</f>
        <v>F</v>
      </c>
      <c r="E175" s="1">
        <f>VLOOKUP(B175,patients!$A:$K,5,FALSE)</f>
        <v>33580</v>
      </c>
      <c r="F175">
        <f>VLOOKUP(B175,patients!$A:$K,6,FALSE)</f>
        <v>8135666049</v>
      </c>
      <c r="G175" t="str">
        <f>VLOOKUP(B175,patients!$A:$K,7,FALSE)</f>
        <v>321 Maple Dr</v>
      </c>
      <c r="H175" s="1">
        <f>VLOOKUP(B175,patients!$A:$K,8,FALSE)</f>
        <v>45043</v>
      </c>
      <c r="I175" t="str">
        <f>VLOOKUP(B175,patients!$A:$K,11,FALSE)</f>
        <v>laura.davis@mail.com</v>
      </c>
      <c r="J175" t="s">
        <v>48</v>
      </c>
      <c r="K175" t="str">
        <f>VLOOKUP(J175,doctors!$A:$H,2,FALSE)&amp;" "&amp;VLOOKUP(J175,doctors!$A:$H,3,FALSE)</f>
        <v>Jane Davis</v>
      </c>
      <c r="L175" t="str">
        <f>VLOOKUP(J175,doctors!$A:$H,4,FALSE)</f>
        <v>Pediatrics</v>
      </c>
      <c r="M175">
        <f>VLOOKUP(J175,doctors!$A:$H,5,FALSE)</f>
        <v>9004382050</v>
      </c>
      <c r="N175" t="str">
        <f>VLOOKUP(J175,doctors!$A:$H,7,FALSE)</f>
        <v>Eastside Clinic</v>
      </c>
      <c r="O175" s="1">
        <v>45230</v>
      </c>
      <c r="P175" s="2">
        <v>0.46875</v>
      </c>
      <c r="Q175" t="s">
        <v>38</v>
      </c>
      <c r="R175" t="s">
        <v>19</v>
      </c>
      <c r="S175" t="s">
        <v>611</v>
      </c>
      <c r="T175" t="s">
        <v>431</v>
      </c>
      <c r="U175" s="3">
        <v>3384.37</v>
      </c>
      <c r="V175" s="1">
        <v>45230</v>
      </c>
      <c r="W175" t="s">
        <v>822</v>
      </c>
      <c r="X175" s="1">
        <v>45230</v>
      </c>
      <c r="Y175" s="3">
        <v>3384.37</v>
      </c>
      <c r="Z175" t="s">
        <v>655</v>
      </c>
      <c r="AA175" t="s">
        <v>647</v>
      </c>
    </row>
    <row r="176" spans="1:27" x14ac:dyDescent="0.35">
      <c r="A176" t="s">
        <v>247</v>
      </c>
      <c r="B176" t="s">
        <v>177</v>
      </c>
      <c r="C176" t="str">
        <f>VLOOKUP(B176,patients!$A:$K,2,FALSE)&amp;" "&amp;VLOOKUP('HOSPITAL MANAGEMENT DATA'!B176,patients!$A:$K,3,FALSE)</f>
        <v>Laura Davis</v>
      </c>
      <c r="D176" t="str">
        <f>VLOOKUP(B176,patients!$A:$K,4,FALSE)</f>
        <v>M</v>
      </c>
      <c r="E176" s="1">
        <f>VLOOKUP(B176,patients!$A:$K,5,FALSE)</f>
        <v>26278</v>
      </c>
      <c r="F176">
        <f>VLOOKUP(B176,patients!$A:$K,6,FALSE)</f>
        <v>7060324619</v>
      </c>
      <c r="G176" t="str">
        <f>VLOOKUP(B176,patients!$A:$K,7,FALSE)</f>
        <v>321 Maple Dr</v>
      </c>
      <c r="H176" s="1">
        <f>VLOOKUP(B176,patients!$A:$K,8,FALSE)</f>
        <v>44822</v>
      </c>
      <c r="I176" t="str">
        <f>VLOOKUP(B176,patients!$A:$K,11,FALSE)</f>
        <v>laura.davis@mail.com</v>
      </c>
      <c r="J176" t="s">
        <v>25</v>
      </c>
      <c r="K176" t="str">
        <f>VLOOKUP(J176,doctors!$A:$H,2,FALSE)&amp;" "&amp;VLOOKUP(J176,doctors!$A:$H,3,FALSE)</f>
        <v>Jane Smith</v>
      </c>
      <c r="L176" t="str">
        <f>VLOOKUP(J176,doctors!$A:$H,4,FALSE)</f>
        <v>Pediatrics</v>
      </c>
      <c r="M176">
        <f>VLOOKUP(J176,doctors!$A:$H,5,FALSE)</f>
        <v>8737740598</v>
      </c>
      <c r="N176" t="str">
        <f>VLOOKUP(J176,doctors!$A:$H,7,FALSE)</f>
        <v>Eastside Clinic</v>
      </c>
      <c r="O176" s="1">
        <v>45221</v>
      </c>
      <c r="P176" s="2">
        <v>0.70833333333333337</v>
      </c>
      <c r="Q176" t="s">
        <v>18</v>
      </c>
      <c r="R176" t="s">
        <v>19</v>
      </c>
      <c r="S176" t="s">
        <v>612</v>
      </c>
      <c r="T176" t="s">
        <v>456</v>
      </c>
      <c r="U176" s="3">
        <v>4201.16</v>
      </c>
      <c r="V176" s="1">
        <v>45221</v>
      </c>
      <c r="W176" t="s">
        <v>823</v>
      </c>
      <c r="X176" s="1">
        <v>45221</v>
      </c>
      <c r="Y176" s="3">
        <v>4201.16</v>
      </c>
      <c r="Z176" t="s">
        <v>655</v>
      </c>
      <c r="AA176" t="s">
        <v>647</v>
      </c>
    </row>
    <row r="177" spans="1:27" x14ac:dyDescent="0.35">
      <c r="A177" t="s">
        <v>248</v>
      </c>
      <c r="B177" t="s">
        <v>92</v>
      </c>
      <c r="C177" t="str">
        <f>VLOOKUP(B177,patients!$A:$K,2,FALSE)&amp;" "&amp;VLOOKUP('HOSPITAL MANAGEMENT DATA'!B177,patients!$A:$K,3,FALSE)</f>
        <v>Michael Taylor</v>
      </c>
      <c r="D177" t="str">
        <f>VLOOKUP(B177,patients!$A:$K,4,FALSE)</f>
        <v>M</v>
      </c>
      <c r="E177" s="1">
        <f>VLOOKUP(B177,patients!$A:$K,5,FALSE)</f>
        <v>37177</v>
      </c>
      <c r="F177">
        <f>VLOOKUP(B177,patients!$A:$K,6,FALSE)</f>
        <v>7081396733</v>
      </c>
      <c r="G177" t="str">
        <f>VLOOKUP(B177,patients!$A:$K,7,FALSE)</f>
        <v>123 Elm St</v>
      </c>
      <c r="H177" s="1">
        <f>VLOOKUP(B177,patients!$A:$K,8,FALSE)</f>
        <v>44797</v>
      </c>
      <c r="I177" t="str">
        <f>VLOOKUP(B177,patients!$A:$K,11,FALSE)</f>
        <v>michael.taylor@mail.com</v>
      </c>
      <c r="J177" t="s">
        <v>9</v>
      </c>
      <c r="K177" t="str">
        <f>VLOOKUP(J177,doctors!$A:$H,2,FALSE)&amp;" "&amp;VLOOKUP(J177,doctors!$A:$H,3,FALSE)</f>
        <v>Sarah Smith</v>
      </c>
      <c r="L177" t="str">
        <f>VLOOKUP(J177,doctors!$A:$H,4,FALSE)</f>
        <v>Pediatrics</v>
      </c>
      <c r="M177">
        <f>VLOOKUP(J177,doctors!$A:$H,5,FALSE)</f>
        <v>7387087517</v>
      </c>
      <c r="N177" t="str">
        <f>VLOOKUP(J177,doctors!$A:$H,7,FALSE)</f>
        <v>Central Hospital</v>
      </c>
      <c r="O177" s="1">
        <v>45042</v>
      </c>
      <c r="P177" s="2">
        <v>0.39583333333333331</v>
      </c>
      <c r="Q177" t="s">
        <v>10</v>
      </c>
      <c r="R177" t="s">
        <v>15</v>
      </c>
      <c r="S177" t="s">
        <v>613</v>
      </c>
      <c r="T177" t="s">
        <v>434</v>
      </c>
      <c r="U177" s="3">
        <v>1096.3599999999999</v>
      </c>
      <c r="V177" s="1">
        <v>45042</v>
      </c>
      <c r="W177" t="s">
        <v>824</v>
      </c>
      <c r="X177" s="1">
        <v>45042</v>
      </c>
      <c r="Y177" s="3">
        <v>1096.3599999999999</v>
      </c>
      <c r="Z177" t="s">
        <v>652</v>
      </c>
      <c r="AA177" t="s">
        <v>647</v>
      </c>
    </row>
    <row r="178" spans="1:27" x14ac:dyDescent="0.35">
      <c r="A178" t="s">
        <v>249</v>
      </c>
      <c r="B178" t="s">
        <v>139</v>
      </c>
      <c r="C178" t="str">
        <f>VLOOKUP(B178,patients!$A:$K,2,FALSE)&amp;" "&amp;VLOOKUP('HOSPITAL MANAGEMENT DATA'!B178,patients!$A:$K,3,FALSE)</f>
        <v>Robert Taylor</v>
      </c>
      <c r="D178" t="str">
        <f>VLOOKUP(B178,patients!$A:$K,4,FALSE)</f>
        <v>F</v>
      </c>
      <c r="E178" s="1">
        <f>VLOOKUP(B178,patients!$A:$K,5,FALSE)</f>
        <v>27830</v>
      </c>
      <c r="F178">
        <f>VLOOKUP(B178,patients!$A:$K,6,FALSE)</f>
        <v>9449458981</v>
      </c>
      <c r="G178" t="str">
        <f>VLOOKUP(B178,patients!$A:$K,7,FALSE)</f>
        <v>321 Maple Dr</v>
      </c>
      <c r="H178" s="1">
        <f>VLOOKUP(B178,patients!$A:$K,8,FALSE)</f>
        <v>44952</v>
      </c>
      <c r="I178" t="str">
        <f>VLOOKUP(B178,patients!$A:$K,11,FALSE)</f>
        <v>robert.taylor@mail.com</v>
      </c>
      <c r="J178" t="s">
        <v>32</v>
      </c>
      <c r="K178" t="str">
        <f>VLOOKUP(J178,doctors!$A:$H,2,FALSE)&amp;" "&amp;VLOOKUP(J178,doctors!$A:$H,3,FALSE)</f>
        <v>Robert Davis</v>
      </c>
      <c r="L178" t="str">
        <f>VLOOKUP(J178,doctors!$A:$H,4,FALSE)</f>
        <v>Oncology</v>
      </c>
      <c r="M178">
        <f>VLOOKUP(J178,doctors!$A:$H,5,FALSE)</f>
        <v>8217493115</v>
      </c>
      <c r="N178" t="str">
        <f>VLOOKUP(J178,doctors!$A:$H,7,FALSE)</f>
        <v>Westside Clinic</v>
      </c>
      <c r="O178" s="1">
        <v>45154</v>
      </c>
      <c r="P178" s="2">
        <v>0.52083333333333337</v>
      </c>
      <c r="Q178" t="s">
        <v>10</v>
      </c>
      <c r="R178" t="s">
        <v>19</v>
      </c>
      <c r="S178" t="s">
        <v>614</v>
      </c>
      <c r="T178" t="s">
        <v>434</v>
      </c>
      <c r="U178" s="3">
        <v>4379.07</v>
      </c>
      <c r="V178" s="1">
        <v>45154</v>
      </c>
      <c r="W178" t="s">
        <v>825</v>
      </c>
      <c r="X178" s="1">
        <v>45154</v>
      </c>
      <c r="Y178" s="3">
        <v>4379.07</v>
      </c>
      <c r="Z178" t="s">
        <v>644</v>
      </c>
      <c r="AA178" t="s">
        <v>645</v>
      </c>
    </row>
    <row r="179" spans="1:27" x14ac:dyDescent="0.35">
      <c r="A179" t="s">
        <v>250</v>
      </c>
      <c r="B179" t="s">
        <v>151</v>
      </c>
      <c r="C179" t="str">
        <f>VLOOKUP(B179,patients!$A:$K,2,FALSE)&amp;" "&amp;VLOOKUP('HOSPITAL MANAGEMENT DATA'!B179,patients!$A:$K,3,FALSE)</f>
        <v>Jane Jones</v>
      </c>
      <c r="D179" t="str">
        <f>VLOOKUP(B179,patients!$A:$K,4,FALSE)</f>
        <v>M</v>
      </c>
      <c r="E179" s="1">
        <f>VLOOKUP(B179,patients!$A:$K,5,FALSE)</f>
        <v>33359</v>
      </c>
      <c r="F179">
        <f>VLOOKUP(B179,patients!$A:$K,6,FALSE)</f>
        <v>6158428240</v>
      </c>
      <c r="G179" t="str">
        <f>VLOOKUP(B179,patients!$A:$K,7,FALSE)</f>
        <v>456 Oak Ave</v>
      </c>
      <c r="H179" s="1">
        <f>VLOOKUP(B179,patients!$A:$K,8,FALSE)</f>
        <v>44830</v>
      </c>
      <c r="I179" t="str">
        <f>VLOOKUP(B179,patients!$A:$K,11,FALSE)</f>
        <v>jane.jones@mail.com</v>
      </c>
      <c r="J179" t="s">
        <v>32</v>
      </c>
      <c r="K179" t="str">
        <f>VLOOKUP(J179,doctors!$A:$H,2,FALSE)&amp;" "&amp;VLOOKUP(J179,doctors!$A:$H,3,FALSE)</f>
        <v>Robert Davis</v>
      </c>
      <c r="L179" t="str">
        <f>VLOOKUP(J179,doctors!$A:$H,4,FALSE)</f>
        <v>Oncology</v>
      </c>
      <c r="M179">
        <f>VLOOKUP(J179,doctors!$A:$H,5,FALSE)</f>
        <v>8217493115</v>
      </c>
      <c r="N179" t="str">
        <f>VLOOKUP(J179,doctors!$A:$H,7,FALSE)</f>
        <v>Westside Clinic</v>
      </c>
      <c r="O179" s="1">
        <v>44943</v>
      </c>
      <c r="P179" s="2">
        <v>0.55208333333333337</v>
      </c>
      <c r="Q179" t="s">
        <v>29</v>
      </c>
      <c r="R179" t="s">
        <v>19</v>
      </c>
      <c r="S179" t="s">
        <v>615</v>
      </c>
      <c r="T179" t="s">
        <v>456</v>
      </c>
      <c r="U179" s="3">
        <v>4652.41</v>
      </c>
      <c r="V179" s="1">
        <v>44943</v>
      </c>
      <c r="W179" t="s">
        <v>826</v>
      </c>
      <c r="X179" s="1">
        <v>44943</v>
      </c>
      <c r="Y179" s="3">
        <v>4652.41</v>
      </c>
      <c r="Z179" t="s">
        <v>655</v>
      </c>
      <c r="AA179" t="s">
        <v>645</v>
      </c>
    </row>
    <row r="180" spans="1:27" x14ac:dyDescent="0.35">
      <c r="A180" t="s">
        <v>251</v>
      </c>
      <c r="B180" t="s">
        <v>252</v>
      </c>
      <c r="C180" t="str">
        <f>VLOOKUP(B180,patients!$A:$K,2,FALSE)&amp;" "&amp;VLOOKUP('HOSPITAL MANAGEMENT DATA'!B180,patients!$A:$K,3,FALSE)</f>
        <v>David Smith</v>
      </c>
      <c r="D180" t="str">
        <f>VLOOKUP(B180,patients!$A:$K,4,FALSE)</f>
        <v>M</v>
      </c>
      <c r="E180" s="1">
        <f>VLOOKUP(B180,patients!$A:$K,5,FALSE)</f>
        <v>33414</v>
      </c>
      <c r="F180">
        <f>VLOOKUP(B180,patients!$A:$K,6,FALSE)</f>
        <v>6347262390</v>
      </c>
      <c r="G180" t="str">
        <f>VLOOKUP(B180,patients!$A:$K,7,FALSE)</f>
        <v>789 Pine Rd</v>
      </c>
      <c r="H180" s="1">
        <f>VLOOKUP(B180,patients!$A:$K,8,FALSE)</f>
        <v>44305</v>
      </c>
      <c r="I180" t="str">
        <f>VLOOKUP(B180,patients!$A:$K,11,FALSE)</f>
        <v>david.smith@mail.com</v>
      </c>
      <c r="J180" t="s">
        <v>22</v>
      </c>
      <c r="K180" t="str">
        <f>VLOOKUP(J180,doctors!$A:$H,2,FALSE)&amp;" "&amp;VLOOKUP(J180,doctors!$A:$H,3,FALSE)</f>
        <v>Alex Davis</v>
      </c>
      <c r="L180" t="str">
        <f>VLOOKUP(J180,doctors!$A:$H,4,FALSE)</f>
        <v>Pediatrics</v>
      </c>
      <c r="M180">
        <f>VLOOKUP(J180,doctors!$A:$H,5,FALSE)</f>
        <v>6570137231</v>
      </c>
      <c r="N180" t="str">
        <f>VLOOKUP(J180,doctors!$A:$H,7,FALSE)</f>
        <v>Central Hospital</v>
      </c>
      <c r="O180" s="1">
        <v>44993</v>
      </c>
      <c r="P180" s="2">
        <v>0.51041666666666663</v>
      </c>
      <c r="Q180" t="s">
        <v>29</v>
      </c>
      <c r="R180" t="s">
        <v>41</v>
      </c>
      <c r="S180" t="s">
        <v>616</v>
      </c>
      <c r="T180" t="s">
        <v>444</v>
      </c>
      <c r="U180" s="3">
        <v>2691.78</v>
      </c>
      <c r="V180" s="1">
        <v>44993</v>
      </c>
      <c r="W180" t="s">
        <v>827</v>
      </c>
      <c r="X180" s="1">
        <v>44993</v>
      </c>
      <c r="Y180" s="3">
        <v>2691.78</v>
      </c>
      <c r="Z180" t="s">
        <v>655</v>
      </c>
      <c r="AA180" t="s">
        <v>650</v>
      </c>
    </row>
    <row r="181" spans="1:27" x14ac:dyDescent="0.35">
      <c r="A181" t="s">
        <v>253</v>
      </c>
      <c r="B181" t="s">
        <v>163</v>
      </c>
      <c r="C181" t="str">
        <f>VLOOKUP(B181,patients!$A:$K,2,FALSE)&amp;" "&amp;VLOOKUP('HOSPITAL MANAGEMENT DATA'!B181,patients!$A:$K,3,FALSE)</f>
        <v>Alex Johnson</v>
      </c>
      <c r="D181" t="str">
        <f>VLOOKUP(B181,patients!$A:$K,4,FALSE)</f>
        <v>F</v>
      </c>
      <c r="E181" s="1">
        <f>VLOOKUP(B181,patients!$A:$K,5,FALSE)</f>
        <v>32667</v>
      </c>
      <c r="F181">
        <f>VLOOKUP(B181,patients!$A:$K,6,FALSE)</f>
        <v>6278710077</v>
      </c>
      <c r="G181" t="str">
        <f>VLOOKUP(B181,patients!$A:$K,7,FALSE)</f>
        <v>789 Pine Rd</v>
      </c>
      <c r="H181" s="1">
        <f>VLOOKUP(B181,patients!$A:$K,8,FALSE)</f>
        <v>44555</v>
      </c>
      <c r="I181" t="str">
        <f>VLOOKUP(B181,patients!$A:$K,11,FALSE)</f>
        <v>alex.johnson@mail.com</v>
      </c>
      <c r="J181" t="s">
        <v>54</v>
      </c>
      <c r="K181" t="str">
        <f>VLOOKUP(J181,doctors!$A:$H,2,FALSE)&amp;" "&amp;VLOOKUP(J181,doctors!$A:$H,3,FALSE)</f>
        <v>Linda Brown</v>
      </c>
      <c r="L181" t="str">
        <f>VLOOKUP(J181,doctors!$A:$H,4,FALSE)</f>
        <v>Dermatology</v>
      </c>
      <c r="M181">
        <f>VLOOKUP(J181,doctors!$A:$H,5,FALSE)</f>
        <v>9069162601</v>
      </c>
      <c r="N181" t="str">
        <f>VLOOKUP(J181,doctors!$A:$H,7,FALSE)</f>
        <v>Westside Clinic</v>
      </c>
      <c r="O181" s="1">
        <v>44933</v>
      </c>
      <c r="P181" s="2">
        <v>0.45833333333333331</v>
      </c>
      <c r="Q181" t="s">
        <v>18</v>
      </c>
      <c r="R181" t="s">
        <v>19</v>
      </c>
      <c r="S181" t="s">
        <v>617</v>
      </c>
      <c r="T181" t="s">
        <v>431</v>
      </c>
      <c r="U181" s="3">
        <v>3228.14</v>
      </c>
      <c r="V181" s="1">
        <v>44933</v>
      </c>
      <c r="W181" t="s">
        <v>828</v>
      </c>
      <c r="X181" s="1">
        <v>44933</v>
      </c>
      <c r="Y181" s="3">
        <v>3228.14</v>
      </c>
      <c r="Z181" t="s">
        <v>652</v>
      </c>
      <c r="AA181" t="s">
        <v>647</v>
      </c>
    </row>
    <row r="182" spans="1:27" x14ac:dyDescent="0.35">
      <c r="A182" t="s">
        <v>254</v>
      </c>
      <c r="B182" t="s">
        <v>72</v>
      </c>
      <c r="C182" t="str">
        <f>VLOOKUP(B182,patients!$A:$K,2,FALSE)&amp;" "&amp;VLOOKUP('HOSPITAL MANAGEMENT DATA'!B182,patients!$A:$K,3,FALSE)</f>
        <v>Michael Taylor</v>
      </c>
      <c r="D182" t="str">
        <f>VLOOKUP(B182,patients!$A:$K,4,FALSE)</f>
        <v>F</v>
      </c>
      <c r="E182" s="1">
        <f>VLOOKUP(B182,patients!$A:$K,5,FALSE)</f>
        <v>31656</v>
      </c>
      <c r="F182">
        <f>VLOOKUP(B182,patients!$A:$K,6,FALSE)</f>
        <v>8019925828</v>
      </c>
      <c r="G182" t="str">
        <f>VLOOKUP(B182,patients!$A:$K,7,FALSE)</f>
        <v>456 Oak Ave</v>
      </c>
      <c r="H182" s="1">
        <f>VLOOKUP(B182,patients!$A:$K,8,FALSE)</f>
        <v>44408</v>
      </c>
      <c r="I182" t="str">
        <f>VLOOKUP(B182,patients!$A:$K,11,FALSE)</f>
        <v>michael.taylor@mail.com</v>
      </c>
      <c r="J182" t="s">
        <v>14</v>
      </c>
      <c r="K182" t="str">
        <f>VLOOKUP(J182,doctors!$A:$H,2,FALSE)&amp;" "&amp;VLOOKUP(J182,doctors!$A:$H,3,FALSE)</f>
        <v>David Jones</v>
      </c>
      <c r="L182" t="str">
        <f>VLOOKUP(J182,doctors!$A:$H,4,FALSE)</f>
        <v>Pediatrics</v>
      </c>
      <c r="M182">
        <f>VLOOKUP(J182,doctors!$A:$H,5,FALSE)</f>
        <v>6594221991</v>
      </c>
      <c r="N182" t="str">
        <f>VLOOKUP(J182,doctors!$A:$H,7,FALSE)</f>
        <v>Central Hospital</v>
      </c>
      <c r="O182" s="1">
        <v>45172</v>
      </c>
      <c r="P182" s="2">
        <v>0.55208333333333337</v>
      </c>
      <c r="Q182" t="s">
        <v>26</v>
      </c>
      <c r="R182" t="s">
        <v>41</v>
      </c>
      <c r="S182" t="s">
        <v>618</v>
      </c>
      <c r="T182" t="s">
        <v>434</v>
      </c>
      <c r="U182" s="3">
        <v>3941.64</v>
      </c>
      <c r="V182" s="1">
        <v>45172</v>
      </c>
      <c r="W182" t="s">
        <v>829</v>
      </c>
      <c r="X182" s="1">
        <v>45172</v>
      </c>
      <c r="Y182" s="3">
        <v>3941.64</v>
      </c>
      <c r="Z182" t="s">
        <v>652</v>
      </c>
      <c r="AA182" t="s">
        <v>650</v>
      </c>
    </row>
    <row r="183" spans="1:27" x14ac:dyDescent="0.35">
      <c r="A183" t="s">
        <v>255</v>
      </c>
      <c r="B183" t="s">
        <v>142</v>
      </c>
      <c r="C183" t="str">
        <f>VLOOKUP(B183,patients!$A:$K,2,FALSE)&amp;" "&amp;VLOOKUP('HOSPITAL MANAGEMENT DATA'!B183,patients!$A:$K,3,FALSE)</f>
        <v>Laura Johnson</v>
      </c>
      <c r="D183" t="str">
        <f>VLOOKUP(B183,patients!$A:$K,4,FALSE)</f>
        <v>F</v>
      </c>
      <c r="E183" s="1">
        <f>VLOOKUP(B183,patients!$A:$K,5,FALSE)</f>
        <v>32960</v>
      </c>
      <c r="F183">
        <f>VLOOKUP(B183,patients!$A:$K,6,FALSE)</f>
        <v>9059178882</v>
      </c>
      <c r="G183" t="str">
        <f>VLOOKUP(B183,patients!$A:$K,7,FALSE)</f>
        <v>321 Maple Dr</v>
      </c>
      <c r="H183" s="1">
        <f>VLOOKUP(B183,patients!$A:$K,8,FALSE)</f>
        <v>44553</v>
      </c>
      <c r="I183" t="str">
        <f>VLOOKUP(B183,patients!$A:$K,11,FALSE)</f>
        <v>laura.johnson@mail.com</v>
      </c>
      <c r="J183" t="s">
        <v>54</v>
      </c>
      <c r="K183" t="str">
        <f>VLOOKUP(J183,doctors!$A:$H,2,FALSE)&amp;" "&amp;VLOOKUP(J183,doctors!$A:$H,3,FALSE)</f>
        <v>Linda Brown</v>
      </c>
      <c r="L183" t="str">
        <f>VLOOKUP(J183,doctors!$A:$H,4,FALSE)</f>
        <v>Dermatology</v>
      </c>
      <c r="M183">
        <f>VLOOKUP(J183,doctors!$A:$H,5,FALSE)</f>
        <v>9069162601</v>
      </c>
      <c r="N183" t="str">
        <f>VLOOKUP(J183,doctors!$A:$H,7,FALSE)</f>
        <v>Westside Clinic</v>
      </c>
      <c r="O183" s="1">
        <v>45028</v>
      </c>
      <c r="P183" s="2">
        <v>0.33333333333333331</v>
      </c>
      <c r="Q183" t="s">
        <v>38</v>
      </c>
      <c r="R183" t="s">
        <v>41</v>
      </c>
      <c r="S183" t="s">
        <v>619</v>
      </c>
      <c r="T183" t="s">
        <v>444</v>
      </c>
      <c r="U183" s="3">
        <v>1286.77</v>
      </c>
      <c r="V183" s="1">
        <v>45028</v>
      </c>
      <c r="W183" t="s">
        <v>830</v>
      </c>
      <c r="X183" s="1">
        <v>45028</v>
      </c>
      <c r="Y183" s="3">
        <v>1286.77</v>
      </c>
      <c r="Z183" t="s">
        <v>644</v>
      </c>
      <c r="AA183" t="s">
        <v>647</v>
      </c>
    </row>
    <row r="184" spans="1:27" x14ac:dyDescent="0.35">
      <c r="A184" t="s">
        <v>256</v>
      </c>
      <c r="B184" t="s">
        <v>24</v>
      </c>
      <c r="C184" t="str">
        <f>VLOOKUP(B184,patients!$A:$K,2,FALSE)&amp;" "&amp;VLOOKUP('HOSPITAL MANAGEMENT DATA'!B184,patients!$A:$K,3,FALSE)</f>
        <v>Emily Williams</v>
      </c>
      <c r="D184" t="str">
        <f>VLOOKUP(B184,patients!$A:$K,4,FALSE)</f>
        <v>M</v>
      </c>
      <c r="E184" s="1">
        <f>VLOOKUP(B184,patients!$A:$K,5,FALSE)</f>
        <v>26449</v>
      </c>
      <c r="F184">
        <f>VLOOKUP(B184,patients!$A:$K,6,FALSE)</f>
        <v>7587653815</v>
      </c>
      <c r="G184" t="str">
        <f>VLOOKUP(B184,patients!$A:$K,7,FALSE)</f>
        <v>456 Oak Ave</v>
      </c>
      <c r="H184" s="1">
        <f>VLOOKUP(B184,patients!$A:$K,8,FALSE)</f>
        <v>44485</v>
      </c>
      <c r="I184" t="str">
        <f>VLOOKUP(B184,patients!$A:$K,11,FALSE)</f>
        <v>emily.williams@mail.com</v>
      </c>
      <c r="J184" t="s">
        <v>14</v>
      </c>
      <c r="K184" t="str">
        <f>VLOOKUP(J184,doctors!$A:$H,2,FALSE)&amp;" "&amp;VLOOKUP(J184,doctors!$A:$H,3,FALSE)</f>
        <v>David Jones</v>
      </c>
      <c r="L184" t="str">
        <f>VLOOKUP(J184,doctors!$A:$H,4,FALSE)</f>
        <v>Pediatrics</v>
      </c>
      <c r="M184">
        <f>VLOOKUP(J184,doctors!$A:$H,5,FALSE)</f>
        <v>6594221991</v>
      </c>
      <c r="N184" t="str">
        <f>VLOOKUP(J184,doctors!$A:$H,7,FALSE)</f>
        <v>Central Hospital</v>
      </c>
      <c r="O184" s="1">
        <v>44960</v>
      </c>
      <c r="P184" s="2">
        <v>0.67708333333333337</v>
      </c>
      <c r="Q184" t="s">
        <v>29</v>
      </c>
      <c r="R184" t="s">
        <v>41</v>
      </c>
      <c r="S184" t="s">
        <v>620</v>
      </c>
      <c r="T184" t="s">
        <v>456</v>
      </c>
      <c r="U184" s="3">
        <v>2761.55</v>
      </c>
      <c r="V184" s="1">
        <v>44960</v>
      </c>
      <c r="W184" t="s">
        <v>831</v>
      </c>
      <c r="X184" s="1">
        <v>44960</v>
      </c>
      <c r="Y184" s="3">
        <v>2761.55</v>
      </c>
      <c r="Z184" t="s">
        <v>655</v>
      </c>
      <c r="AA184" t="s">
        <v>645</v>
      </c>
    </row>
    <row r="185" spans="1:27" x14ac:dyDescent="0.35">
      <c r="A185" t="s">
        <v>257</v>
      </c>
      <c r="B185" t="s">
        <v>234</v>
      </c>
      <c r="C185" t="str">
        <f>VLOOKUP(B185,patients!$A:$K,2,FALSE)&amp;" "&amp;VLOOKUP('HOSPITAL MANAGEMENT DATA'!B185,patients!$A:$K,3,FALSE)</f>
        <v>Jane Smith</v>
      </c>
      <c r="D185" t="str">
        <f>VLOOKUP(B185,patients!$A:$K,4,FALSE)</f>
        <v>F</v>
      </c>
      <c r="E185" s="1">
        <f>VLOOKUP(B185,patients!$A:$K,5,FALSE)</f>
        <v>19958</v>
      </c>
      <c r="F185">
        <f>VLOOKUP(B185,patients!$A:$K,6,FALSE)</f>
        <v>7040069008</v>
      </c>
      <c r="G185" t="str">
        <f>VLOOKUP(B185,patients!$A:$K,7,FALSE)</f>
        <v>789 Pine Rd</v>
      </c>
      <c r="H185" s="1">
        <f>VLOOKUP(B185,patients!$A:$K,8,FALSE)</f>
        <v>44635</v>
      </c>
      <c r="I185" t="str">
        <f>VLOOKUP(B185,patients!$A:$K,11,FALSE)</f>
        <v>jane.smith@mail.com</v>
      </c>
      <c r="J185" t="s">
        <v>54</v>
      </c>
      <c r="K185" t="str">
        <f>VLOOKUP(J185,doctors!$A:$H,2,FALSE)&amp;" "&amp;VLOOKUP(J185,doctors!$A:$H,3,FALSE)</f>
        <v>Linda Brown</v>
      </c>
      <c r="L185" t="str">
        <f>VLOOKUP(J185,doctors!$A:$H,4,FALSE)</f>
        <v>Dermatology</v>
      </c>
      <c r="M185">
        <f>VLOOKUP(J185,doctors!$A:$H,5,FALSE)</f>
        <v>9069162601</v>
      </c>
      <c r="N185" t="str">
        <f>VLOOKUP(J185,doctors!$A:$H,7,FALSE)</f>
        <v>Westside Clinic</v>
      </c>
      <c r="O185" s="1">
        <v>44983</v>
      </c>
      <c r="P185" s="2">
        <v>0.73958333333333337</v>
      </c>
      <c r="Q185" t="s">
        <v>10</v>
      </c>
      <c r="R185" t="s">
        <v>41</v>
      </c>
      <c r="S185" t="s">
        <v>621</v>
      </c>
      <c r="T185" t="s">
        <v>444</v>
      </c>
      <c r="U185" s="3">
        <v>2293.98</v>
      </c>
      <c r="V185" s="1">
        <v>44983</v>
      </c>
      <c r="W185" t="s">
        <v>832</v>
      </c>
      <c r="X185" s="1">
        <v>44983</v>
      </c>
      <c r="Y185" s="3">
        <v>2293.98</v>
      </c>
      <c r="Z185" t="s">
        <v>644</v>
      </c>
      <c r="AA185" t="s">
        <v>645</v>
      </c>
    </row>
    <row r="186" spans="1:27" x14ac:dyDescent="0.35">
      <c r="A186" t="s">
        <v>258</v>
      </c>
      <c r="B186" t="s">
        <v>177</v>
      </c>
      <c r="C186" t="str">
        <f>VLOOKUP(B186,patients!$A:$K,2,FALSE)&amp;" "&amp;VLOOKUP('HOSPITAL MANAGEMENT DATA'!B186,patients!$A:$K,3,FALSE)</f>
        <v>Laura Davis</v>
      </c>
      <c r="D186" t="str">
        <f>VLOOKUP(B186,patients!$A:$K,4,FALSE)</f>
        <v>M</v>
      </c>
      <c r="E186" s="1">
        <f>VLOOKUP(B186,patients!$A:$K,5,FALSE)</f>
        <v>26278</v>
      </c>
      <c r="F186">
        <f>VLOOKUP(B186,patients!$A:$K,6,FALSE)</f>
        <v>7060324619</v>
      </c>
      <c r="G186" t="str">
        <f>VLOOKUP(B186,patients!$A:$K,7,FALSE)</f>
        <v>321 Maple Dr</v>
      </c>
      <c r="H186" s="1">
        <f>VLOOKUP(B186,patients!$A:$K,8,FALSE)</f>
        <v>44822</v>
      </c>
      <c r="I186" t="str">
        <f>VLOOKUP(B186,patients!$A:$K,11,FALSE)</f>
        <v>laura.davis@mail.com</v>
      </c>
      <c r="J186" t="s">
        <v>9</v>
      </c>
      <c r="K186" t="str">
        <f>VLOOKUP(J186,doctors!$A:$H,2,FALSE)&amp;" "&amp;VLOOKUP(J186,doctors!$A:$H,3,FALSE)</f>
        <v>Sarah Smith</v>
      </c>
      <c r="L186" t="str">
        <f>VLOOKUP(J186,doctors!$A:$H,4,FALSE)</f>
        <v>Pediatrics</v>
      </c>
      <c r="M186">
        <f>VLOOKUP(J186,doctors!$A:$H,5,FALSE)</f>
        <v>7387087517</v>
      </c>
      <c r="N186" t="str">
        <f>VLOOKUP(J186,doctors!$A:$H,7,FALSE)</f>
        <v>Central Hospital</v>
      </c>
      <c r="O186" s="1">
        <v>45006</v>
      </c>
      <c r="P186" s="2">
        <v>0.58333333333333337</v>
      </c>
      <c r="Q186" t="s">
        <v>18</v>
      </c>
      <c r="R186" t="s">
        <v>11</v>
      </c>
      <c r="S186" t="s">
        <v>622</v>
      </c>
      <c r="T186" t="s">
        <v>440</v>
      </c>
      <c r="U186" s="3">
        <v>1158.68</v>
      </c>
      <c r="V186" s="1">
        <v>45006</v>
      </c>
      <c r="W186" t="s">
        <v>833</v>
      </c>
      <c r="X186" s="1">
        <v>45006</v>
      </c>
      <c r="Y186" s="3">
        <v>1158.68</v>
      </c>
      <c r="Z186" t="s">
        <v>655</v>
      </c>
      <c r="AA186" t="s">
        <v>645</v>
      </c>
    </row>
    <row r="187" spans="1:27" x14ac:dyDescent="0.35">
      <c r="A187" t="s">
        <v>259</v>
      </c>
      <c r="B187" t="s">
        <v>123</v>
      </c>
      <c r="C187" t="str">
        <f>VLOOKUP(B187,patients!$A:$K,2,FALSE)&amp;" "&amp;VLOOKUP('HOSPITAL MANAGEMENT DATA'!B187,patients!$A:$K,3,FALSE)</f>
        <v>Laura Wilson</v>
      </c>
      <c r="D187" t="str">
        <f>VLOOKUP(B187,patients!$A:$K,4,FALSE)</f>
        <v>M</v>
      </c>
      <c r="E187" s="1">
        <f>VLOOKUP(B187,patients!$A:$K,5,FALSE)</f>
        <v>34330</v>
      </c>
      <c r="F187">
        <f>VLOOKUP(B187,patients!$A:$K,6,FALSE)</f>
        <v>8301134730</v>
      </c>
      <c r="G187" t="str">
        <f>VLOOKUP(B187,patients!$A:$K,7,FALSE)</f>
        <v>321 Maple Dr</v>
      </c>
      <c r="H187" s="1">
        <f>VLOOKUP(B187,patients!$A:$K,8,FALSE)</f>
        <v>45044</v>
      </c>
      <c r="I187" t="str">
        <f>VLOOKUP(B187,patients!$A:$K,11,FALSE)</f>
        <v>laura.wilson@mail.com</v>
      </c>
      <c r="J187" t="s">
        <v>25</v>
      </c>
      <c r="K187" t="str">
        <f>VLOOKUP(J187,doctors!$A:$H,2,FALSE)&amp;" "&amp;VLOOKUP(J187,doctors!$A:$H,3,FALSE)</f>
        <v>Jane Smith</v>
      </c>
      <c r="L187" t="str">
        <f>VLOOKUP(J187,doctors!$A:$H,4,FALSE)</f>
        <v>Pediatrics</v>
      </c>
      <c r="M187">
        <f>VLOOKUP(J187,doctors!$A:$H,5,FALSE)</f>
        <v>8737740598</v>
      </c>
      <c r="N187" t="str">
        <f>VLOOKUP(J187,doctors!$A:$H,7,FALSE)</f>
        <v>Eastside Clinic</v>
      </c>
      <c r="O187" s="1">
        <v>45012</v>
      </c>
      <c r="P187" s="2">
        <v>0.71875</v>
      </c>
      <c r="Q187" t="s">
        <v>38</v>
      </c>
      <c r="R187" t="s">
        <v>15</v>
      </c>
      <c r="S187" t="s">
        <v>623</v>
      </c>
      <c r="T187" t="s">
        <v>434</v>
      </c>
      <c r="U187" s="3">
        <v>2153.9</v>
      </c>
      <c r="V187" s="1">
        <v>45012</v>
      </c>
      <c r="W187" t="s">
        <v>834</v>
      </c>
      <c r="X187" s="1">
        <v>45012</v>
      </c>
      <c r="Y187" s="3">
        <v>2153.9</v>
      </c>
      <c r="Z187" t="s">
        <v>644</v>
      </c>
      <c r="AA187" t="s">
        <v>647</v>
      </c>
    </row>
    <row r="188" spans="1:27" x14ac:dyDescent="0.35">
      <c r="A188" t="s">
        <v>260</v>
      </c>
      <c r="B188" t="s">
        <v>117</v>
      </c>
      <c r="C188" t="str">
        <f>VLOOKUP(B188,patients!$A:$K,2,FALSE)&amp;" "&amp;VLOOKUP('HOSPITAL MANAGEMENT DATA'!B188,patients!$A:$K,3,FALSE)</f>
        <v>Linda Moore</v>
      </c>
      <c r="D188" t="str">
        <f>VLOOKUP(B188,patients!$A:$K,4,FALSE)</f>
        <v>F</v>
      </c>
      <c r="E188" s="1">
        <f>VLOOKUP(B188,patients!$A:$K,5,FALSE)</f>
        <v>35975</v>
      </c>
      <c r="F188">
        <f>VLOOKUP(B188,patients!$A:$K,6,FALSE)</f>
        <v>8724518272</v>
      </c>
      <c r="G188" t="str">
        <f>VLOOKUP(B188,patients!$A:$K,7,FALSE)</f>
        <v>321 Maple Dr</v>
      </c>
      <c r="H188" s="1">
        <f>VLOOKUP(B188,patients!$A:$K,8,FALSE)</f>
        <v>44423</v>
      </c>
      <c r="I188" t="str">
        <f>VLOOKUP(B188,patients!$A:$K,11,FALSE)</f>
        <v>linda.moore@mail.com</v>
      </c>
      <c r="J188" t="s">
        <v>25</v>
      </c>
      <c r="K188" t="str">
        <f>VLOOKUP(J188,doctors!$A:$H,2,FALSE)&amp;" "&amp;VLOOKUP(J188,doctors!$A:$H,3,FALSE)</f>
        <v>Jane Smith</v>
      </c>
      <c r="L188" t="str">
        <f>VLOOKUP(J188,doctors!$A:$H,4,FALSE)</f>
        <v>Pediatrics</v>
      </c>
      <c r="M188">
        <f>VLOOKUP(J188,doctors!$A:$H,5,FALSE)</f>
        <v>8737740598</v>
      </c>
      <c r="N188" t="str">
        <f>VLOOKUP(J188,doctors!$A:$H,7,FALSE)</f>
        <v>Eastside Clinic</v>
      </c>
      <c r="O188" s="1">
        <v>44970</v>
      </c>
      <c r="P188" s="2">
        <v>0.52083333333333337</v>
      </c>
      <c r="Q188" t="s">
        <v>18</v>
      </c>
      <c r="R188" t="s">
        <v>11</v>
      </c>
      <c r="S188" t="s">
        <v>624</v>
      </c>
      <c r="T188" t="s">
        <v>456</v>
      </c>
      <c r="U188" s="3">
        <v>806.78</v>
      </c>
      <c r="V188" s="1">
        <v>44970</v>
      </c>
      <c r="W188" t="s">
        <v>835</v>
      </c>
      <c r="X188" s="1">
        <v>44970</v>
      </c>
      <c r="Y188" s="3">
        <v>806.78</v>
      </c>
      <c r="Z188" t="s">
        <v>652</v>
      </c>
      <c r="AA188" t="s">
        <v>645</v>
      </c>
    </row>
    <row r="189" spans="1:27" x14ac:dyDescent="0.35">
      <c r="A189" t="s">
        <v>261</v>
      </c>
      <c r="B189" t="s">
        <v>112</v>
      </c>
      <c r="C189" t="str">
        <f>VLOOKUP(B189,patients!$A:$K,2,FALSE)&amp;" "&amp;VLOOKUP('HOSPITAL MANAGEMENT DATA'!B189,patients!$A:$K,3,FALSE)</f>
        <v>Emily Smith</v>
      </c>
      <c r="D189" t="str">
        <f>VLOOKUP(B189,patients!$A:$K,4,FALSE)</f>
        <v>F</v>
      </c>
      <c r="E189" s="1">
        <f>VLOOKUP(B189,patients!$A:$K,5,FALSE)</f>
        <v>30967</v>
      </c>
      <c r="F189">
        <f>VLOOKUP(B189,patients!$A:$K,6,FALSE)</f>
        <v>8228188767</v>
      </c>
      <c r="G189" t="str">
        <f>VLOOKUP(B189,patients!$A:$K,7,FALSE)</f>
        <v>321 Maple Dr</v>
      </c>
      <c r="H189" s="1">
        <f>VLOOKUP(B189,patients!$A:$K,8,FALSE)</f>
        <v>44576</v>
      </c>
      <c r="I189" t="str">
        <f>VLOOKUP(B189,patients!$A:$K,11,FALSE)</f>
        <v>emily.smith@mail.com</v>
      </c>
      <c r="J189" t="s">
        <v>48</v>
      </c>
      <c r="K189" t="str">
        <f>VLOOKUP(J189,doctors!$A:$H,2,FALSE)&amp;" "&amp;VLOOKUP(J189,doctors!$A:$H,3,FALSE)</f>
        <v>Jane Davis</v>
      </c>
      <c r="L189" t="str">
        <f>VLOOKUP(J189,doctors!$A:$H,4,FALSE)</f>
        <v>Pediatrics</v>
      </c>
      <c r="M189">
        <f>VLOOKUP(J189,doctors!$A:$H,5,FALSE)</f>
        <v>9004382050</v>
      </c>
      <c r="N189" t="str">
        <f>VLOOKUP(J189,doctors!$A:$H,7,FALSE)</f>
        <v>Eastside Clinic</v>
      </c>
      <c r="O189" s="1">
        <v>45028</v>
      </c>
      <c r="P189" s="2">
        <v>0.6875</v>
      </c>
      <c r="Q189" t="s">
        <v>38</v>
      </c>
      <c r="R189" t="s">
        <v>19</v>
      </c>
      <c r="S189" t="s">
        <v>625</v>
      </c>
      <c r="T189" t="s">
        <v>431</v>
      </c>
      <c r="U189" s="3">
        <v>616.15</v>
      </c>
      <c r="V189" s="1">
        <v>45028</v>
      </c>
      <c r="W189" t="s">
        <v>836</v>
      </c>
      <c r="X189" s="1">
        <v>45028</v>
      </c>
      <c r="Y189" s="3">
        <v>616.15</v>
      </c>
      <c r="Z189" t="s">
        <v>655</v>
      </c>
      <c r="AA189" t="s">
        <v>647</v>
      </c>
    </row>
    <row r="190" spans="1:27" x14ac:dyDescent="0.35">
      <c r="A190" t="s">
        <v>262</v>
      </c>
      <c r="B190" t="s">
        <v>40</v>
      </c>
      <c r="C190" t="str">
        <f>VLOOKUP(B190,patients!$A:$K,2,FALSE)&amp;" "&amp;VLOOKUP('HOSPITAL MANAGEMENT DATA'!B190,patients!$A:$K,3,FALSE)</f>
        <v>David Wilson</v>
      </c>
      <c r="D190" t="str">
        <f>VLOOKUP(B190,patients!$A:$K,4,FALSE)</f>
        <v>M</v>
      </c>
      <c r="E190" s="1">
        <f>VLOOKUP(B190,patients!$A:$K,5,FALSE)</f>
        <v>22090</v>
      </c>
      <c r="F190">
        <f>VLOOKUP(B190,patients!$A:$K,6,FALSE)</f>
        <v>7734463155</v>
      </c>
      <c r="G190" t="str">
        <f>VLOOKUP(B190,patients!$A:$K,7,FALSE)</f>
        <v>123 Elm St</v>
      </c>
      <c r="H190" s="1">
        <f>VLOOKUP(B190,patients!$A:$K,8,FALSE)</f>
        <v>44468</v>
      </c>
      <c r="I190" t="str">
        <f>VLOOKUP(B190,patients!$A:$K,11,FALSE)</f>
        <v>david.wilson@mail.com</v>
      </c>
      <c r="J190" t="s">
        <v>35</v>
      </c>
      <c r="K190" t="str">
        <f>VLOOKUP(J190,doctors!$A:$H,2,FALSE)&amp;" "&amp;VLOOKUP(J190,doctors!$A:$H,3,FALSE)</f>
        <v>Linda Wilson</v>
      </c>
      <c r="L190" t="str">
        <f>VLOOKUP(J190,doctors!$A:$H,4,FALSE)</f>
        <v>Oncology</v>
      </c>
      <c r="M190">
        <f>VLOOKUP(J190,doctors!$A:$H,5,FALSE)</f>
        <v>6176383634</v>
      </c>
      <c r="N190" t="str">
        <f>VLOOKUP(J190,doctors!$A:$H,7,FALSE)</f>
        <v>Eastside Clinic</v>
      </c>
      <c r="O190" s="1">
        <v>45204</v>
      </c>
      <c r="P190" s="2">
        <v>0.5625</v>
      </c>
      <c r="Q190" t="s">
        <v>38</v>
      </c>
      <c r="R190" t="s">
        <v>11</v>
      </c>
      <c r="S190" t="s">
        <v>626</v>
      </c>
      <c r="T190" t="s">
        <v>456</v>
      </c>
      <c r="U190" s="3">
        <v>1108.25</v>
      </c>
      <c r="V190" s="1">
        <v>45204</v>
      </c>
      <c r="W190" t="s">
        <v>837</v>
      </c>
      <c r="X190" s="1">
        <v>45204</v>
      </c>
      <c r="Y190" s="3">
        <v>1108.25</v>
      </c>
      <c r="Z190" t="s">
        <v>644</v>
      </c>
      <c r="AA190" t="s">
        <v>650</v>
      </c>
    </row>
    <row r="191" spans="1:27" x14ac:dyDescent="0.35">
      <c r="A191" t="s">
        <v>263</v>
      </c>
      <c r="B191" t="s">
        <v>45</v>
      </c>
      <c r="C191" t="str">
        <f>VLOOKUP(B191,patients!$A:$K,2,FALSE)&amp;" "&amp;VLOOKUP('HOSPITAL MANAGEMENT DATA'!B191,patients!$A:$K,3,FALSE)</f>
        <v>David Smith</v>
      </c>
      <c r="D191" t="str">
        <f>VLOOKUP(B191,patients!$A:$K,4,FALSE)</f>
        <v>M</v>
      </c>
      <c r="E191" s="1">
        <f>VLOOKUP(B191,patients!$A:$K,5,FALSE)</f>
        <v>38487</v>
      </c>
      <c r="F191">
        <f>VLOOKUP(B191,patients!$A:$K,6,FALSE)</f>
        <v>8923607677</v>
      </c>
      <c r="G191" t="str">
        <f>VLOOKUP(B191,patients!$A:$K,7,FALSE)</f>
        <v>789 Pine Rd</v>
      </c>
      <c r="H191" s="1">
        <f>VLOOKUP(B191,patients!$A:$K,8,FALSE)</f>
        <v>45035</v>
      </c>
      <c r="I191" t="str">
        <f>VLOOKUP(B191,patients!$A:$K,11,FALSE)</f>
        <v>david.smith@mail.com</v>
      </c>
      <c r="J191" t="s">
        <v>25</v>
      </c>
      <c r="K191" t="str">
        <f>VLOOKUP(J191,doctors!$A:$H,2,FALSE)&amp;" "&amp;VLOOKUP(J191,doctors!$A:$H,3,FALSE)</f>
        <v>Jane Smith</v>
      </c>
      <c r="L191" t="str">
        <f>VLOOKUP(J191,doctors!$A:$H,4,FALSE)</f>
        <v>Pediatrics</v>
      </c>
      <c r="M191">
        <f>VLOOKUP(J191,doctors!$A:$H,5,FALSE)</f>
        <v>8737740598</v>
      </c>
      <c r="N191" t="str">
        <f>VLOOKUP(J191,doctors!$A:$H,7,FALSE)</f>
        <v>Eastside Clinic</v>
      </c>
      <c r="O191" s="1">
        <v>45246</v>
      </c>
      <c r="P191" s="2">
        <v>0.63541666666666663</v>
      </c>
      <c r="Q191" t="s">
        <v>29</v>
      </c>
      <c r="R191" t="s">
        <v>11</v>
      </c>
      <c r="S191" t="s">
        <v>627</v>
      </c>
      <c r="T191" t="s">
        <v>431</v>
      </c>
      <c r="U191" s="3">
        <v>4834.0200000000004</v>
      </c>
      <c r="V191" s="1">
        <v>45246</v>
      </c>
      <c r="W191" t="s">
        <v>838</v>
      </c>
      <c r="X191" s="1">
        <v>45246</v>
      </c>
      <c r="Y191" s="3">
        <v>4834.0200000000004</v>
      </c>
      <c r="Z191" t="s">
        <v>652</v>
      </c>
      <c r="AA191" t="s">
        <v>647</v>
      </c>
    </row>
    <row r="192" spans="1:27" x14ac:dyDescent="0.35">
      <c r="A192" t="s">
        <v>264</v>
      </c>
      <c r="B192" t="s">
        <v>56</v>
      </c>
      <c r="C192" t="str">
        <f>VLOOKUP(B192,patients!$A:$K,2,FALSE)&amp;" "&amp;VLOOKUP('HOSPITAL MANAGEMENT DATA'!B192,patients!$A:$K,3,FALSE)</f>
        <v>Robert Williams</v>
      </c>
      <c r="D192" t="str">
        <f>VLOOKUP(B192,patients!$A:$K,4,FALSE)</f>
        <v>M</v>
      </c>
      <c r="E192" s="1">
        <f>VLOOKUP(B192,patients!$A:$K,5,FALSE)</f>
        <v>36196</v>
      </c>
      <c r="F192">
        <f>VLOOKUP(B192,patients!$A:$K,6,FALSE)</f>
        <v>8886800195</v>
      </c>
      <c r="G192" t="str">
        <f>VLOOKUP(B192,patients!$A:$K,7,FALSE)</f>
        <v>456 Oak Ave</v>
      </c>
      <c r="H192" s="1">
        <f>VLOOKUP(B192,patients!$A:$K,8,FALSE)</f>
        <v>44469</v>
      </c>
      <c r="I192" t="str">
        <f>VLOOKUP(B192,patients!$A:$K,11,FALSE)</f>
        <v>robert.williams@mail.com</v>
      </c>
      <c r="J192" t="s">
        <v>25</v>
      </c>
      <c r="K192" t="str">
        <f>VLOOKUP(J192,doctors!$A:$H,2,FALSE)&amp;" "&amp;VLOOKUP(J192,doctors!$A:$H,3,FALSE)</f>
        <v>Jane Smith</v>
      </c>
      <c r="L192" t="str">
        <f>VLOOKUP(J192,doctors!$A:$H,4,FALSE)</f>
        <v>Pediatrics</v>
      </c>
      <c r="M192">
        <f>VLOOKUP(J192,doctors!$A:$H,5,FALSE)</f>
        <v>8737740598</v>
      </c>
      <c r="N192" t="str">
        <f>VLOOKUP(J192,doctors!$A:$H,7,FALSE)</f>
        <v>Eastside Clinic</v>
      </c>
      <c r="O192" s="1">
        <v>45028</v>
      </c>
      <c r="P192" s="2">
        <v>0.66666666666666663</v>
      </c>
      <c r="Q192" t="s">
        <v>18</v>
      </c>
      <c r="R192" t="s">
        <v>19</v>
      </c>
      <c r="S192" t="s">
        <v>628</v>
      </c>
      <c r="T192" t="s">
        <v>456</v>
      </c>
      <c r="U192" s="3">
        <v>2972.88</v>
      </c>
      <c r="V192" s="1">
        <v>45028</v>
      </c>
      <c r="W192" t="s">
        <v>839</v>
      </c>
      <c r="X192" s="1">
        <v>45028</v>
      </c>
      <c r="Y192" s="3">
        <v>2972.88</v>
      </c>
      <c r="Z192" t="s">
        <v>652</v>
      </c>
      <c r="AA192" t="s">
        <v>650</v>
      </c>
    </row>
    <row r="193" spans="1:27" x14ac:dyDescent="0.35">
      <c r="A193" t="s">
        <v>265</v>
      </c>
      <c r="B193" t="s">
        <v>252</v>
      </c>
      <c r="C193" t="str">
        <f>VLOOKUP(B193,patients!$A:$K,2,FALSE)&amp;" "&amp;VLOOKUP('HOSPITAL MANAGEMENT DATA'!B193,patients!$A:$K,3,FALSE)</f>
        <v>David Smith</v>
      </c>
      <c r="D193" t="str">
        <f>VLOOKUP(B193,patients!$A:$K,4,FALSE)</f>
        <v>M</v>
      </c>
      <c r="E193" s="1">
        <f>VLOOKUP(B193,patients!$A:$K,5,FALSE)</f>
        <v>33414</v>
      </c>
      <c r="F193">
        <f>VLOOKUP(B193,patients!$A:$K,6,FALSE)</f>
        <v>6347262390</v>
      </c>
      <c r="G193" t="str">
        <f>VLOOKUP(B193,patients!$A:$K,7,FALSE)</f>
        <v>789 Pine Rd</v>
      </c>
      <c r="H193" s="1">
        <f>VLOOKUP(B193,patients!$A:$K,8,FALSE)</f>
        <v>44305</v>
      </c>
      <c r="I193" t="str">
        <f>VLOOKUP(B193,patients!$A:$K,11,FALSE)</f>
        <v>david.smith@mail.com</v>
      </c>
      <c r="J193" t="s">
        <v>74</v>
      </c>
      <c r="K193" t="str">
        <f>VLOOKUP(J193,doctors!$A:$H,2,FALSE)&amp;" "&amp;VLOOKUP(J193,doctors!$A:$H,3,FALSE)</f>
        <v>Sarah Taylor</v>
      </c>
      <c r="L193" t="str">
        <f>VLOOKUP(J193,doctors!$A:$H,4,FALSE)</f>
        <v>Dermatology</v>
      </c>
      <c r="M193">
        <f>VLOOKUP(J193,doctors!$A:$H,5,FALSE)</f>
        <v>9118538547</v>
      </c>
      <c r="N193" t="str">
        <f>VLOOKUP(J193,doctors!$A:$H,7,FALSE)</f>
        <v>Central Hospital</v>
      </c>
      <c r="O193" s="1">
        <v>45169</v>
      </c>
      <c r="P193" s="2">
        <v>0.59375</v>
      </c>
      <c r="Q193" t="s">
        <v>18</v>
      </c>
      <c r="R193" t="s">
        <v>19</v>
      </c>
      <c r="S193" t="s">
        <v>629</v>
      </c>
      <c r="T193" t="s">
        <v>444</v>
      </c>
      <c r="U193" s="3">
        <v>4846.2</v>
      </c>
      <c r="V193" s="1">
        <v>45169</v>
      </c>
      <c r="W193" t="s">
        <v>840</v>
      </c>
      <c r="X193" s="1">
        <v>45169</v>
      </c>
      <c r="Y193" s="3">
        <v>4846.2</v>
      </c>
      <c r="Z193" t="s">
        <v>644</v>
      </c>
      <c r="AA193" t="s">
        <v>647</v>
      </c>
    </row>
    <row r="194" spans="1:27" x14ac:dyDescent="0.35">
      <c r="A194" t="s">
        <v>266</v>
      </c>
      <c r="B194" t="s">
        <v>100</v>
      </c>
      <c r="C194" t="str">
        <f>VLOOKUP(B194,patients!$A:$K,2,FALSE)&amp;" "&amp;VLOOKUP('HOSPITAL MANAGEMENT DATA'!B194,patients!$A:$K,3,FALSE)</f>
        <v>Sarah Miller</v>
      </c>
      <c r="D194" t="str">
        <f>VLOOKUP(B194,patients!$A:$K,4,FALSE)</f>
        <v>M</v>
      </c>
      <c r="E194" s="1">
        <f>VLOOKUP(B194,patients!$A:$K,5,FALSE)</f>
        <v>27538</v>
      </c>
      <c r="F194">
        <f>VLOOKUP(B194,patients!$A:$K,6,FALSE)</f>
        <v>8618058864</v>
      </c>
      <c r="G194" t="str">
        <f>VLOOKUP(B194,patients!$A:$K,7,FALSE)</f>
        <v>789 Pine Rd</v>
      </c>
      <c r="H194" s="1">
        <f>VLOOKUP(B194,patients!$A:$K,8,FALSE)</f>
        <v>45101</v>
      </c>
      <c r="I194" t="str">
        <f>VLOOKUP(B194,patients!$A:$K,11,FALSE)</f>
        <v>sarah.miller@mail.com</v>
      </c>
      <c r="J194" t="s">
        <v>74</v>
      </c>
      <c r="K194" t="str">
        <f>VLOOKUP(J194,doctors!$A:$H,2,FALSE)&amp;" "&amp;VLOOKUP(J194,doctors!$A:$H,3,FALSE)</f>
        <v>Sarah Taylor</v>
      </c>
      <c r="L194" t="str">
        <f>VLOOKUP(J194,doctors!$A:$H,4,FALSE)</f>
        <v>Dermatology</v>
      </c>
      <c r="M194">
        <f>VLOOKUP(J194,doctors!$A:$H,5,FALSE)</f>
        <v>9118538547</v>
      </c>
      <c r="N194" t="str">
        <f>VLOOKUP(J194,doctors!$A:$H,7,FALSE)</f>
        <v>Central Hospital</v>
      </c>
      <c r="O194" s="1">
        <v>45184</v>
      </c>
      <c r="P194" s="2">
        <v>0.34375</v>
      </c>
      <c r="Q194" t="s">
        <v>10</v>
      </c>
      <c r="R194" t="s">
        <v>19</v>
      </c>
      <c r="S194" t="s">
        <v>630</v>
      </c>
      <c r="T194" t="s">
        <v>444</v>
      </c>
      <c r="U194" s="3">
        <v>2446.2399999999998</v>
      </c>
      <c r="V194" s="1">
        <v>45184</v>
      </c>
      <c r="W194" t="s">
        <v>841</v>
      </c>
      <c r="X194" s="1">
        <v>45184</v>
      </c>
      <c r="Y194" s="3">
        <v>2446.2399999999998</v>
      </c>
      <c r="Z194" t="s">
        <v>655</v>
      </c>
      <c r="AA194" t="s">
        <v>650</v>
      </c>
    </row>
    <row r="195" spans="1:27" x14ac:dyDescent="0.35">
      <c r="A195" t="s">
        <v>267</v>
      </c>
      <c r="B195" t="s">
        <v>154</v>
      </c>
      <c r="C195" t="str">
        <f>VLOOKUP(B195,patients!$A:$K,2,FALSE)&amp;" "&amp;VLOOKUP('HOSPITAL MANAGEMENT DATA'!B195,patients!$A:$K,3,FALSE)</f>
        <v>David Davis</v>
      </c>
      <c r="D195" t="str">
        <f>VLOOKUP(B195,patients!$A:$K,4,FALSE)</f>
        <v>F</v>
      </c>
      <c r="E195" s="1">
        <f>VLOOKUP(B195,patients!$A:$K,5,FALSE)</f>
        <v>27946</v>
      </c>
      <c r="F195">
        <f>VLOOKUP(B195,patients!$A:$K,6,FALSE)</f>
        <v>7090558393</v>
      </c>
      <c r="G195" t="str">
        <f>VLOOKUP(B195,patients!$A:$K,7,FALSE)</f>
        <v>456 Oak Ave</v>
      </c>
      <c r="H195" s="1">
        <f>VLOOKUP(B195,patients!$A:$K,8,FALSE)</f>
        <v>44341</v>
      </c>
      <c r="I195" t="str">
        <f>VLOOKUP(B195,patients!$A:$K,11,FALSE)</f>
        <v>david.davis@mail.com</v>
      </c>
      <c r="J195" t="s">
        <v>48</v>
      </c>
      <c r="K195" t="str">
        <f>VLOOKUP(J195,doctors!$A:$H,2,FALSE)&amp;" "&amp;VLOOKUP(J195,doctors!$A:$H,3,FALSE)</f>
        <v>Jane Davis</v>
      </c>
      <c r="L195" t="str">
        <f>VLOOKUP(J195,doctors!$A:$H,4,FALSE)</f>
        <v>Pediatrics</v>
      </c>
      <c r="M195">
        <f>VLOOKUP(J195,doctors!$A:$H,5,FALSE)</f>
        <v>9004382050</v>
      </c>
      <c r="N195" t="str">
        <f>VLOOKUP(J195,doctors!$A:$H,7,FALSE)</f>
        <v>Eastside Clinic</v>
      </c>
      <c r="O195" s="1">
        <v>45022</v>
      </c>
      <c r="P195" s="2">
        <v>0.53125</v>
      </c>
      <c r="Q195" t="s">
        <v>10</v>
      </c>
      <c r="R195" t="s">
        <v>11</v>
      </c>
      <c r="S195" t="s">
        <v>631</v>
      </c>
      <c r="T195" t="s">
        <v>444</v>
      </c>
      <c r="U195" s="3">
        <v>1903.17</v>
      </c>
      <c r="V195" s="1">
        <v>45022</v>
      </c>
      <c r="W195" t="s">
        <v>842</v>
      </c>
      <c r="X195" s="1">
        <v>45022</v>
      </c>
      <c r="Y195" s="3">
        <v>1903.17</v>
      </c>
      <c r="Z195" t="s">
        <v>655</v>
      </c>
      <c r="AA195" t="s">
        <v>645</v>
      </c>
    </row>
    <row r="196" spans="1:27" x14ac:dyDescent="0.35">
      <c r="A196" t="s">
        <v>268</v>
      </c>
      <c r="B196" t="s">
        <v>17</v>
      </c>
      <c r="C196" t="str">
        <f>VLOOKUP(B196,patients!$A:$K,2,FALSE)&amp;" "&amp;VLOOKUP('HOSPITAL MANAGEMENT DATA'!B196,patients!$A:$K,3,FALSE)</f>
        <v>Emily Miller</v>
      </c>
      <c r="D196" t="str">
        <f>VLOOKUP(B196,patients!$A:$K,4,FALSE)</f>
        <v>M</v>
      </c>
      <c r="E196" s="1">
        <f>VLOOKUP(B196,patients!$A:$K,5,FALSE)</f>
        <v>30399</v>
      </c>
      <c r="F196">
        <f>VLOOKUP(B196,patients!$A:$K,6,FALSE)</f>
        <v>8720989381</v>
      </c>
      <c r="G196" t="str">
        <f>VLOOKUP(B196,patients!$A:$K,7,FALSE)</f>
        <v>123 Elm St</v>
      </c>
      <c r="H196" s="1">
        <f>VLOOKUP(B196,patients!$A:$K,8,FALSE)</f>
        <v>45096</v>
      </c>
      <c r="I196" t="str">
        <f>VLOOKUP(B196,patients!$A:$K,11,FALSE)</f>
        <v>emily.miller@mail.com</v>
      </c>
      <c r="J196" t="s">
        <v>35</v>
      </c>
      <c r="K196" t="str">
        <f>VLOOKUP(J196,doctors!$A:$H,2,FALSE)&amp;" "&amp;VLOOKUP(J196,doctors!$A:$H,3,FALSE)</f>
        <v>Linda Wilson</v>
      </c>
      <c r="L196" t="str">
        <f>VLOOKUP(J196,doctors!$A:$H,4,FALSE)</f>
        <v>Oncology</v>
      </c>
      <c r="M196">
        <f>VLOOKUP(J196,doctors!$A:$H,5,FALSE)</f>
        <v>6176383634</v>
      </c>
      <c r="N196" t="str">
        <f>VLOOKUP(J196,doctors!$A:$H,7,FALSE)</f>
        <v>Eastside Clinic</v>
      </c>
      <c r="O196" s="1">
        <v>45157</v>
      </c>
      <c r="P196" s="2">
        <v>0.71875</v>
      </c>
      <c r="Q196" t="s">
        <v>29</v>
      </c>
      <c r="R196" t="s">
        <v>11</v>
      </c>
      <c r="S196" t="s">
        <v>632</v>
      </c>
      <c r="T196" t="s">
        <v>440</v>
      </c>
      <c r="U196" s="3">
        <v>2777.64</v>
      </c>
      <c r="V196" s="1">
        <v>45157</v>
      </c>
      <c r="W196" t="s">
        <v>843</v>
      </c>
      <c r="X196" s="1">
        <v>45157</v>
      </c>
      <c r="Y196" s="3">
        <v>2777.64</v>
      </c>
      <c r="Z196" t="s">
        <v>652</v>
      </c>
      <c r="AA196" t="s">
        <v>650</v>
      </c>
    </row>
    <row r="197" spans="1:27" x14ac:dyDescent="0.35">
      <c r="A197" t="s">
        <v>269</v>
      </c>
      <c r="B197" t="s">
        <v>28</v>
      </c>
      <c r="C197" t="str">
        <f>VLOOKUP(B197,patients!$A:$K,2,FALSE)&amp;" "&amp;VLOOKUP('HOSPITAL MANAGEMENT DATA'!B197,patients!$A:$K,3,FALSE)</f>
        <v>Linda Miller</v>
      </c>
      <c r="D197" t="str">
        <f>VLOOKUP(B197,patients!$A:$K,4,FALSE)</f>
        <v>F</v>
      </c>
      <c r="E197" s="1">
        <f>VLOOKUP(B197,patients!$A:$K,5,FALSE)</f>
        <v>24222</v>
      </c>
      <c r="F197">
        <f>VLOOKUP(B197,patients!$A:$K,6,FALSE)</f>
        <v>7579616535</v>
      </c>
      <c r="G197" t="str">
        <f>VLOOKUP(B197,patients!$A:$K,7,FALSE)</f>
        <v>321 Maple Dr</v>
      </c>
      <c r="H197" s="1">
        <f>VLOOKUP(B197,patients!$A:$K,8,FALSE)</f>
        <v>44219</v>
      </c>
      <c r="I197" t="str">
        <f>VLOOKUP(B197,patients!$A:$K,11,FALSE)</f>
        <v>linda.miller@mail.com</v>
      </c>
      <c r="J197" t="s">
        <v>22</v>
      </c>
      <c r="K197" t="str">
        <f>VLOOKUP(J197,doctors!$A:$H,2,FALSE)&amp;" "&amp;VLOOKUP(J197,doctors!$A:$H,3,FALSE)</f>
        <v>Alex Davis</v>
      </c>
      <c r="L197" t="str">
        <f>VLOOKUP(J197,doctors!$A:$H,4,FALSE)</f>
        <v>Pediatrics</v>
      </c>
      <c r="M197">
        <f>VLOOKUP(J197,doctors!$A:$H,5,FALSE)</f>
        <v>6570137231</v>
      </c>
      <c r="N197" t="str">
        <f>VLOOKUP(J197,doctors!$A:$H,7,FALSE)</f>
        <v>Central Hospital</v>
      </c>
      <c r="O197" s="1">
        <v>45225</v>
      </c>
      <c r="P197" s="2">
        <v>0.40625</v>
      </c>
      <c r="Q197" t="s">
        <v>29</v>
      </c>
      <c r="R197" t="s">
        <v>19</v>
      </c>
      <c r="S197" t="s">
        <v>633</v>
      </c>
      <c r="T197" t="s">
        <v>431</v>
      </c>
      <c r="U197" s="3">
        <v>2477.8000000000002</v>
      </c>
      <c r="V197" s="1">
        <v>45225</v>
      </c>
      <c r="W197" t="s">
        <v>844</v>
      </c>
      <c r="X197" s="1">
        <v>45225</v>
      </c>
      <c r="Y197" s="3">
        <v>2477.8000000000002</v>
      </c>
      <c r="Z197" t="s">
        <v>655</v>
      </c>
      <c r="AA197" t="s">
        <v>645</v>
      </c>
    </row>
    <row r="198" spans="1:27" x14ac:dyDescent="0.35">
      <c r="A198" t="s">
        <v>270</v>
      </c>
      <c r="B198" t="s">
        <v>31</v>
      </c>
      <c r="C198" t="str">
        <f>VLOOKUP(B198,patients!$A:$K,2,FALSE)&amp;" "&amp;VLOOKUP('HOSPITAL MANAGEMENT DATA'!B198,patients!$A:$K,3,FALSE)</f>
        <v>David Williams</v>
      </c>
      <c r="D198" t="str">
        <f>VLOOKUP(B198,patients!$A:$K,4,FALSE)</f>
        <v>F</v>
      </c>
      <c r="E198" s="1">
        <f>VLOOKUP(B198,patients!$A:$K,5,FALSE)</f>
        <v>20244</v>
      </c>
      <c r="F198">
        <f>VLOOKUP(B198,patients!$A:$K,6,FALSE)</f>
        <v>6939585183</v>
      </c>
      <c r="G198" t="str">
        <f>VLOOKUP(B198,patients!$A:$K,7,FALSE)</f>
        <v>789 Pine Rd</v>
      </c>
      <c r="H198" s="1">
        <f>VLOOKUP(B198,patients!$A:$K,8,FALSE)</f>
        <v>44735</v>
      </c>
      <c r="I198" t="str">
        <f>VLOOKUP(B198,patients!$A:$K,11,FALSE)</f>
        <v>david.williams@mail.com</v>
      </c>
      <c r="J198" t="s">
        <v>74</v>
      </c>
      <c r="K198" t="str">
        <f>VLOOKUP(J198,doctors!$A:$H,2,FALSE)&amp;" "&amp;VLOOKUP(J198,doctors!$A:$H,3,FALSE)</f>
        <v>Sarah Taylor</v>
      </c>
      <c r="L198" t="str">
        <f>VLOOKUP(J198,doctors!$A:$H,4,FALSE)</f>
        <v>Dermatology</v>
      </c>
      <c r="M198">
        <f>VLOOKUP(J198,doctors!$A:$H,5,FALSE)</f>
        <v>9118538547</v>
      </c>
      <c r="N198" t="str">
        <f>VLOOKUP(J198,doctors!$A:$H,7,FALSE)</f>
        <v>Central Hospital</v>
      </c>
      <c r="O198" s="1">
        <v>45017</v>
      </c>
      <c r="P198" s="2">
        <v>0.5625</v>
      </c>
      <c r="Q198" t="s">
        <v>26</v>
      </c>
      <c r="R198" t="s">
        <v>15</v>
      </c>
      <c r="S198" t="s">
        <v>634</v>
      </c>
      <c r="T198" t="s">
        <v>444</v>
      </c>
      <c r="U198" s="3">
        <v>975.49</v>
      </c>
      <c r="V198" s="1">
        <v>45017</v>
      </c>
      <c r="W198" t="s">
        <v>845</v>
      </c>
      <c r="X198" s="1">
        <v>45017</v>
      </c>
      <c r="Y198" s="3">
        <v>975.49</v>
      </c>
      <c r="Z198" t="s">
        <v>655</v>
      </c>
      <c r="AA198" t="s">
        <v>645</v>
      </c>
    </row>
    <row r="199" spans="1:27" x14ac:dyDescent="0.35">
      <c r="A199" t="s">
        <v>271</v>
      </c>
      <c r="B199" t="s">
        <v>43</v>
      </c>
      <c r="C199" t="str">
        <f>VLOOKUP(B199,patients!$A:$K,2,FALSE)&amp;" "&amp;VLOOKUP('HOSPITAL MANAGEMENT DATA'!B199,patients!$A:$K,3,FALSE)</f>
        <v>John Brown</v>
      </c>
      <c r="D199" t="str">
        <f>VLOOKUP(B199,patients!$A:$K,4,FALSE)</f>
        <v>M</v>
      </c>
      <c r="E199" s="1">
        <f>VLOOKUP(B199,patients!$A:$K,5,FALSE)</f>
        <v>20219</v>
      </c>
      <c r="F199">
        <f>VLOOKUP(B199,patients!$A:$K,6,FALSE)</f>
        <v>6221099573</v>
      </c>
      <c r="G199" t="str">
        <f>VLOOKUP(B199,patients!$A:$K,7,FALSE)</f>
        <v>321 Maple Dr</v>
      </c>
      <c r="H199" s="1">
        <f>VLOOKUP(B199,patients!$A:$K,8,FALSE)</f>
        <v>44327</v>
      </c>
      <c r="I199" t="str">
        <f>VLOOKUP(B199,patients!$A:$K,11,FALSE)</f>
        <v>john.brown@mail.com</v>
      </c>
      <c r="J199" t="s">
        <v>22</v>
      </c>
      <c r="K199" t="str">
        <f>VLOOKUP(J199,doctors!$A:$H,2,FALSE)&amp;" "&amp;VLOOKUP(J199,doctors!$A:$H,3,FALSE)</f>
        <v>Alex Davis</v>
      </c>
      <c r="L199" t="str">
        <f>VLOOKUP(J199,doctors!$A:$H,4,FALSE)</f>
        <v>Pediatrics</v>
      </c>
      <c r="M199">
        <f>VLOOKUP(J199,doctors!$A:$H,5,FALSE)</f>
        <v>6570137231</v>
      </c>
      <c r="N199" t="str">
        <f>VLOOKUP(J199,doctors!$A:$H,7,FALSE)</f>
        <v>Central Hospital</v>
      </c>
      <c r="O199" s="1">
        <v>45061</v>
      </c>
      <c r="P199" s="2">
        <v>0.35416666666666669</v>
      </c>
      <c r="Q199" t="s">
        <v>10</v>
      </c>
      <c r="R199" t="s">
        <v>15</v>
      </c>
      <c r="S199" t="s">
        <v>635</v>
      </c>
      <c r="T199" t="s">
        <v>440</v>
      </c>
      <c r="U199" s="3">
        <v>3383.72</v>
      </c>
      <c r="V199" s="1">
        <v>45061</v>
      </c>
      <c r="W199" t="s">
        <v>846</v>
      </c>
      <c r="X199" s="1">
        <v>45061</v>
      </c>
      <c r="Y199" s="3">
        <v>3383.72</v>
      </c>
      <c r="Z199" t="s">
        <v>655</v>
      </c>
      <c r="AA199" t="s">
        <v>650</v>
      </c>
    </row>
    <row r="200" spans="1:27" x14ac:dyDescent="0.35">
      <c r="A200" t="s">
        <v>272</v>
      </c>
      <c r="B200" t="s">
        <v>151</v>
      </c>
      <c r="C200" t="str">
        <f>VLOOKUP(B200,patients!$A:$K,2,FALSE)&amp;" "&amp;VLOOKUP('HOSPITAL MANAGEMENT DATA'!B200,patients!$A:$K,3,FALSE)</f>
        <v>Jane Jones</v>
      </c>
      <c r="D200" t="str">
        <f>VLOOKUP(B200,patients!$A:$K,4,FALSE)</f>
        <v>M</v>
      </c>
      <c r="E200" s="1">
        <f>VLOOKUP(B200,patients!$A:$K,5,FALSE)</f>
        <v>33359</v>
      </c>
      <c r="F200">
        <f>VLOOKUP(B200,patients!$A:$K,6,FALSE)</f>
        <v>6158428240</v>
      </c>
      <c r="G200" t="str">
        <f>VLOOKUP(B200,patients!$A:$K,7,FALSE)</f>
        <v>456 Oak Ave</v>
      </c>
      <c r="H200" s="1">
        <f>VLOOKUP(B200,patients!$A:$K,8,FALSE)</f>
        <v>44830</v>
      </c>
      <c r="I200" t="str">
        <f>VLOOKUP(B200,patients!$A:$K,11,FALSE)</f>
        <v>jane.jones@mail.com</v>
      </c>
      <c r="J200" t="s">
        <v>59</v>
      </c>
      <c r="K200" t="str">
        <f>VLOOKUP(J200,doctors!$A:$H,2,FALSE)&amp;" "&amp;VLOOKUP(J200,doctors!$A:$H,3,FALSE)</f>
        <v>David Taylor</v>
      </c>
      <c r="L200" t="str">
        <f>VLOOKUP(J200,doctors!$A:$H,4,FALSE)</f>
        <v>Dermatology</v>
      </c>
      <c r="M200">
        <f>VLOOKUP(J200,doctors!$A:$H,5,FALSE)</f>
        <v>8322010158</v>
      </c>
      <c r="N200" t="str">
        <f>VLOOKUP(J200,doctors!$A:$H,7,FALSE)</f>
        <v>Westside Clinic</v>
      </c>
      <c r="O200" s="1">
        <v>45047</v>
      </c>
      <c r="P200" s="2">
        <v>0.53125</v>
      </c>
      <c r="Q200" t="s">
        <v>38</v>
      </c>
      <c r="R200" t="s">
        <v>41</v>
      </c>
      <c r="S200" t="s">
        <v>636</v>
      </c>
      <c r="T200" t="s">
        <v>431</v>
      </c>
      <c r="U200" s="3">
        <v>1472.17</v>
      </c>
      <c r="V200" s="1">
        <v>45047</v>
      </c>
      <c r="W200" t="s">
        <v>847</v>
      </c>
      <c r="X200" s="1">
        <v>45047</v>
      </c>
      <c r="Y200" s="3">
        <v>1472.17</v>
      </c>
      <c r="Z200" t="s">
        <v>652</v>
      </c>
      <c r="AA200" t="s">
        <v>647</v>
      </c>
    </row>
    <row r="201" spans="1:27" x14ac:dyDescent="0.35">
      <c r="A201" t="s">
        <v>273</v>
      </c>
      <c r="B201" t="s">
        <v>163</v>
      </c>
      <c r="C201" t="str">
        <f>VLOOKUP(B201,patients!$A:$K,2,FALSE)&amp;" "&amp;VLOOKUP('HOSPITAL MANAGEMENT DATA'!B201,patients!$A:$K,3,FALSE)</f>
        <v>Alex Johnson</v>
      </c>
      <c r="D201" t="str">
        <f>VLOOKUP(B201,patients!$A:$K,4,FALSE)</f>
        <v>F</v>
      </c>
      <c r="E201" s="1">
        <f>VLOOKUP(B201,patients!$A:$K,5,FALSE)</f>
        <v>32667</v>
      </c>
      <c r="F201">
        <f>VLOOKUP(B201,patients!$A:$K,6,FALSE)</f>
        <v>6278710077</v>
      </c>
      <c r="G201" t="str">
        <f>VLOOKUP(B201,patients!$A:$K,7,FALSE)</f>
        <v>789 Pine Rd</v>
      </c>
      <c r="H201" s="1">
        <f>VLOOKUP(B201,patients!$A:$K,8,FALSE)</f>
        <v>44555</v>
      </c>
      <c r="I201" t="str">
        <f>VLOOKUP(B201,patients!$A:$K,11,FALSE)</f>
        <v>alex.johnson@mail.com</v>
      </c>
      <c r="J201" t="s">
        <v>74</v>
      </c>
      <c r="K201" t="str">
        <f>VLOOKUP(J201,doctors!$A:$H,2,FALSE)&amp;" "&amp;VLOOKUP(J201,doctors!$A:$H,3,FALSE)</f>
        <v>Sarah Taylor</v>
      </c>
      <c r="L201" t="str">
        <f>VLOOKUP(J201,doctors!$A:$H,4,FALSE)</f>
        <v>Dermatology</v>
      </c>
      <c r="M201">
        <f>VLOOKUP(J201,doctors!$A:$H,5,FALSE)</f>
        <v>9118538547</v>
      </c>
      <c r="N201" t="str">
        <f>VLOOKUP(J201,doctors!$A:$H,7,FALSE)</f>
        <v>Central Hospital</v>
      </c>
      <c r="O201" s="1">
        <v>45290</v>
      </c>
      <c r="P201" s="2">
        <v>0.42708333333333331</v>
      </c>
      <c r="Q201" t="s">
        <v>18</v>
      </c>
      <c r="R201" t="s">
        <v>19</v>
      </c>
      <c r="S201" t="s">
        <v>637</v>
      </c>
      <c r="T201" t="s">
        <v>456</v>
      </c>
      <c r="U201" s="3">
        <v>3288.15</v>
      </c>
      <c r="V201" s="1">
        <v>45290</v>
      </c>
      <c r="W201" t="s">
        <v>848</v>
      </c>
      <c r="X201" s="1">
        <v>45290</v>
      </c>
      <c r="Y201" s="3">
        <v>3288.15</v>
      </c>
      <c r="Z201" t="s">
        <v>644</v>
      </c>
      <c r="AA201" t="s">
        <v>647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5595-ACEE-4B96-AFCB-B5D1D5B9CC58}">
  <dimension ref="D4:F29"/>
  <sheetViews>
    <sheetView tabSelected="1" workbookViewId="0">
      <selection activeCell="E31" sqref="E31"/>
    </sheetView>
  </sheetViews>
  <sheetFormatPr defaultRowHeight="14.5" x14ac:dyDescent="0.35"/>
  <cols>
    <col min="5" max="5" width="32.26953125" customWidth="1"/>
    <col min="6" max="6" width="51.6328125" customWidth="1"/>
  </cols>
  <sheetData>
    <row r="4" spans="4:6" x14ac:dyDescent="0.35">
      <c r="D4" s="5" t="s">
        <v>860</v>
      </c>
      <c r="E4" s="5" t="s">
        <v>861</v>
      </c>
      <c r="F4" s="5" t="s">
        <v>862</v>
      </c>
    </row>
    <row r="5" spans="4:6" x14ac:dyDescent="0.35">
      <c r="D5" s="4">
        <v>1</v>
      </c>
      <c r="E5" s="4" t="s">
        <v>863</v>
      </c>
      <c r="F5" s="4" t="s">
        <v>864</v>
      </c>
    </row>
    <row r="6" spans="4:6" x14ac:dyDescent="0.35">
      <c r="D6" s="4"/>
      <c r="E6" s="4"/>
      <c r="F6" s="4" t="s">
        <v>865</v>
      </c>
    </row>
    <row r="7" spans="4:6" x14ac:dyDescent="0.35">
      <c r="D7" s="4"/>
      <c r="E7" s="4"/>
      <c r="F7" s="4"/>
    </row>
    <row r="8" spans="4:6" x14ac:dyDescent="0.35">
      <c r="D8" s="5">
        <v>2</v>
      </c>
      <c r="E8" s="5" t="s">
        <v>866</v>
      </c>
      <c r="F8" s="5" t="s">
        <v>867</v>
      </c>
    </row>
    <row r="9" spans="4:6" x14ac:dyDescent="0.35">
      <c r="D9" s="6"/>
      <c r="E9" s="6"/>
      <c r="F9" s="6"/>
    </row>
    <row r="10" spans="4:6" x14ac:dyDescent="0.35">
      <c r="D10" s="4">
        <v>3</v>
      </c>
      <c r="E10" s="4" t="s">
        <v>868</v>
      </c>
      <c r="F10" s="4" t="s">
        <v>869</v>
      </c>
    </row>
    <row r="11" spans="4:6" x14ac:dyDescent="0.35">
      <c r="D11" s="4"/>
      <c r="E11" s="4"/>
      <c r="F11" s="4" t="s">
        <v>870</v>
      </c>
    </row>
    <row r="12" spans="4:6" x14ac:dyDescent="0.35">
      <c r="D12" s="4"/>
      <c r="E12" s="4"/>
      <c r="F12" s="4"/>
    </row>
    <row r="13" spans="4:6" x14ac:dyDescent="0.35">
      <c r="D13" s="5">
        <v>4</v>
      </c>
      <c r="E13" s="5" t="s">
        <v>871</v>
      </c>
      <c r="F13" s="5" t="s">
        <v>872</v>
      </c>
    </row>
    <row r="14" spans="4:6" x14ac:dyDescent="0.35">
      <c r="D14" s="5"/>
      <c r="E14" s="5"/>
      <c r="F14" s="5"/>
    </row>
    <row r="15" spans="4:6" x14ac:dyDescent="0.35">
      <c r="D15" s="4">
        <v>5</v>
      </c>
      <c r="E15" s="4" t="s">
        <v>873</v>
      </c>
      <c r="F15" s="4" t="s">
        <v>874</v>
      </c>
    </row>
    <row r="16" spans="4:6" x14ac:dyDescent="0.35">
      <c r="D16" s="4"/>
      <c r="E16" s="4"/>
      <c r="F16" s="4" t="s">
        <v>875</v>
      </c>
    </row>
    <row r="17" spans="4:6" x14ac:dyDescent="0.35">
      <c r="D17" s="5">
        <v>6</v>
      </c>
      <c r="E17" s="5" t="s">
        <v>877</v>
      </c>
      <c r="F17" s="5" t="s">
        <v>876</v>
      </c>
    </row>
    <row r="18" spans="4:6" x14ac:dyDescent="0.35">
      <c r="D18" s="5"/>
      <c r="E18" s="5"/>
      <c r="F18" s="5"/>
    </row>
    <row r="19" spans="4:6" x14ac:dyDescent="0.35">
      <c r="D19" s="4">
        <v>7</v>
      </c>
      <c r="E19" s="4" t="s">
        <v>878</v>
      </c>
      <c r="F19" s="4" t="s">
        <v>879</v>
      </c>
    </row>
    <row r="20" spans="4:6" x14ac:dyDescent="0.35">
      <c r="D20" s="4"/>
      <c r="E20" s="4"/>
      <c r="F20" s="4"/>
    </row>
    <row r="21" spans="4:6" x14ac:dyDescent="0.35">
      <c r="D21" s="5">
        <v>8</v>
      </c>
      <c r="E21" s="5" t="s">
        <v>880</v>
      </c>
      <c r="F21" s="5" t="s">
        <v>881</v>
      </c>
    </row>
    <row r="22" spans="4:6" x14ac:dyDescent="0.35">
      <c r="D22" s="5"/>
      <c r="E22" s="5"/>
      <c r="F22" s="5" t="s">
        <v>882</v>
      </c>
    </row>
    <row r="23" spans="4:6" x14ac:dyDescent="0.35">
      <c r="D23" s="5"/>
      <c r="E23" s="5"/>
      <c r="F23" s="5"/>
    </row>
    <row r="24" spans="4:6" x14ac:dyDescent="0.35">
      <c r="D24" s="4">
        <v>9</v>
      </c>
      <c r="E24" s="4" t="s">
        <v>883</v>
      </c>
      <c r="F24" s="4" t="s">
        <v>884</v>
      </c>
    </row>
    <row r="25" spans="4:6" x14ac:dyDescent="0.35">
      <c r="D25" s="4"/>
      <c r="E25" s="4"/>
      <c r="F25" s="4" t="s">
        <v>885</v>
      </c>
    </row>
    <row r="26" spans="4:6" x14ac:dyDescent="0.35">
      <c r="D26" s="4"/>
      <c r="E26" s="4"/>
      <c r="F26" s="4"/>
    </row>
    <row r="27" spans="4:6" x14ac:dyDescent="0.35">
      <c r="D27" s="5">
        <v>10</v>
      </c>
      <c r="E27" s="5" t="s">
        <v>886</v>
      </c>
      <c r="F27" s="5" t="s">
        <v>887</v>
      </c>
    </row>
    <row r="28" spans="4:6" x14ac:dyDescent="0.35">
      <c r="D28" s="5"/>
      <c r="E28" s="5"/>
      <c r="F28" s="5" t="s">
        <v>888</v>
      </c>
    </row>
    <row r="29" spans="4:6" x14ac:dyDescent="0.35">
      <c r="D29" s="5"/>
      <c r="E29" s="5"/>
      <c r="F29" s="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E137-4204-4837-BB94-64919958F481}">
  <dimension ref="C4:D19"/>
  <sheetViews>
    <sheetView workbookViewId="0">
      <selection activeCell="F19" sqref="F19"/>
    </sheetView>
  </sheetViews>
  <sheetFormatPr defaultRowHeight="14.5" x14ac:dyDescent="0.35"/>
  <cols>
    <col min="4" max="4" width="69.1796875" customWidth="1"/>
    <col min="5" max="5" width="16.81640625" customWidth="1"/>
  </cols>
  <sheetData>
    <row r="4" spans="3:4" x14ac:dyDescent="0.35">
      <c r="C4" s="8"/>
      <c r="D4" s="8"/>
    </row>
    <row r="5" spans="3:4" x14ac:dyDescent="0.35">
      <c r="C5" s="9">
        <v>1</v>
      </c>
      <c r="D5" s="8" t="s">
        <v>889</v>
      </c>
    </row>
    <row r="6" spans="3:4" x14ac:dyDescent="0.35">
      <c r="C6" s="9">
        <v>2</v>
      </c>
      <c r="D6" s="8" t="s">
        <v>890</v>
      </c>
    </row>
    <row r="7" spans="3:4" x14ac:dyDescent="0.35">
      <c r="C7" s="9">
        <v>3</v>
      </c>
      <c r="D7" s="8" t="s">
        <v>891</v>
      </c>
    </row>
    <row r="8" spans="3:4" x14ac:dyDescent="0.35">
      <c r="C8" s="9">
        <v>4</v>
      </c>
      <c r="D8" s="8" t="s">
        <v>892</v>
      </c>
    </row>
    <row r="9" spans="3:4" x14ac:dyDescent="0.35">
      <c r="C9" s="9">
        <v>5</v>
      </c>
      <c r="D9" s="8" t="s">
        <v>893</v>
      </c>
    </row>
    <row r="10" spans="3:4" x14ac:dyDescent="0.35">
      <c r="C10" s="9">
        <v>6</v>
      </c>
      <c r="D10" s="8" t="s">
        <v>894</v>
      </c>
    </row>
    <row r="11" spans="3:4" x14ac:dyDescent="0.35">
      <c r="C11" s="9">
        <v>7</v>
      </c>
      <c r="D11" s="8" t="s">
        <v>895</v>
      </c>
    </row>
    <row r="12" spans="3:4" x14ac:dyDescent="0.35">
      <c r="C12" s="9">
        <v>8</v>
      </c>
      <c r="D12" s="8" t="s">
        <v>896</v>
      </c>
    </row>
    <row r="13" spans="3:4" x14ac:dyDescent="0.35">
      <c r="C13" s="9">
        <v>9</v>
      </c>
      <c r="D13" s="8" t="s">
        <v>897</v>
      </c>
    </row>
    <row r="14" spans="3:4" x14ac:dyDescent="0.35">
      <c r="C14" s="9">
        <v>10</v>
      </c>
      <c r="D14" s="8" t="s">
        <v>898</v>
      </c>
    </row>
    <row r="15" spans="3:4" x14ac:dyDescent="0.35">
      <c r="C15" s="9">
        <v>11</v>
      </c>
      <c r="D15" s="8" t="s">
        <v>899</v>
      </c>
    </row>
    <row r="16" spans="3:4" x14ac:dyDescent="0.35">
      <c r="C16" s="9">
        <v>12</v>
      </c>
      <c r="D16" s="8" t="s">
        <v>900</v>
      </c>
    </row>
    <row r="17" spans="3:4" x14ac:dyDescent="0.35">
      <c r="C17" s="9">
        <v>13</v>
      </c>
      <c r="D17" s="8" t="s">
        <v>901</v>
      </c>
    </row>
    <row r="18" spans="3:4" x14ac:dyDescent="0.35">
      <c r="C18" s="9">
        <v>14</v>
      </c>
      <c r="D18" s="8" t="s">
        <v>902</v>
      </c>
    </row>
    <row r="19" spans="3:4" x14ac:dyDescent="0.35">
      <c r="C19" s="8"/>
      <c r="D19"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8E52-B192-47C6-9C41-4F79E5ADEE53}">
  <dimension ref="E5:H13"/>
  <sheetViews>
    <sheetView workbookViewId="0">
      <selection activeCell="F16" sqref="F16"/>
    </sheetView>
  </sheetViews>
  <sheetFormatPr defaultRowHeight="14.5" x14ac:dyDescent="0.35"/>
  <cols>
    <col min="6" max="6" width="51.90625" customWidth="1"/>
    <col min="7" max="7" width="16.26953125" customWidth="1"/>
    <col min="8" max="8" width="17.1796875" customWidth="1"/>
  </cols>
  <sheetData>
    <row r="5" spans="5:8" x14ac:dyDescent="0.35">
      <c r="E5" s="15"/>
      <c r="F5" s="15"/>
      <c r="G5" s="15"/>
      <c r="H5" s="15"/>
    </row>
    <row r="6" spans="5:8" x14ac:dyDescent="0.35">
      <c r="E6" s="16">
        <v>1</v>
      </c>
      <c r="F6" s="15" t="s">
        <v>889</v>
      </c>
      <c r="G6" s="15">
        <v>200</v>
      </c>
      <c r="H6" s="15"/>
    </row>
    <row r="7" spans="5:8" x14ac:dyDescent="0.35">
      <c r="E7" s="16">
        <v>2</v>
      </c>
      <c r="F7" s="15" t="s">
        <v>890</v>
      </c>
      <c r="G7" s="17">
        <v>0.26</v>
      </c>
      <c r="H7" s="15"/>
    </row>
    <row r="8" spans="5:8" x14ac:dyDescent="0.35">
      <c r="E8" s="16">
        <v>3</v>
      </c>
      <c r="F8" s="15" t="s">
        <v>891</v>
      </c>
      <c r="G8" s="17">
        <v>0.23</v>
      </c>
      <c r="H8" s="15"/>
    </row>
    <row r="9" spans="5:8" x14ac:dyDescent="0.35">
      <c r="E9" s="16">
        <v>4</v>
      </c>
      <c r="F9" s="15" t="s">
        <v>892</v>
      </c>
      <c r="G9" s="18">
        <v>551249.85</v>
      </c>
      <c r="H9" s="15"/>
    </row>
    <row r="10" spans="5:8" x14ac:dyDescent="0.35">
      <c r="E10" s="16">
        <v>5</v>
      </c>
      <c r="F10" s="15" t="s">
        <v>893</v>
      </c>
      <c r="G10" s="18">
        <v>173424.9</v>
      </c>
      <c r="H10" s="15"/>
    </row>
    <row r="11" spans="5:8" x14ac:dyDescent="0.35">
      <c r="E11" s="16">
        <v>6</v>
      </c>
      <c r="F11" s="15" t="s">
        <v>894</v>
      </c>
      <c r="G11" s="17">
        <v>0.31459999999999999</v>
      </c>
      <c r="H11" s="15"/>
    </row>
    <row r="12" spans="5:8" x14ac:dyDescent="0.35">
      <c r="E12" s="16">
        <v>7</v>
      </c>
      <c r="F12" s="15" t="s">
        <v>895</v>
      </c>
      <c r="G12" s="18">
        <v>2756.25</v>
      </c>
      <c r="H12" s="15"/>
    </row>
    <row r="13" spans="5:8" x14ac:dyDescent="0.35">
      <c r="E13" s="16">
        <v>8</v>
      </c>
      <c r="F13" s="15" t="s">
        <v>896</v>
      </c>
      <c r="G13" s="15" t="s">
        <v>909</v>
      </c>
      <c r="H13" s="1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2E04-C0E6-4776-8D31-FBA0FB7D951D}">
  <dimension ref="D3:F16"/>
  <sheetViews>
    <sheetView workbookViewId="0">
      <selection activeCell="C8" sqref="C8"/>
    </sheetView>
  </sheetViews>
  <sheetFormatPr defaultRowHeight="14.5" x14ac:dyDescent="0.35"/>
  <cols>
    <col min="4" max="4" width="1.90625" hidden="1" customWidth="1"/>
    <col min="5" max="5" width="59" customWidth="1"/>
    <col min="6" max="6" width="50.08984375" customWidth="1"/>
  </cols>
  <sheetData>
    <row r="3" spans="4:6" x14ac:dyDescent="0.35">
      <c r="E3" s="21" t="s">
        <v>911</v>
      </c>
      <c r="F3" s="24" t="s">
        <v>912</v>
      </c>
    </row>
    <row r="4" spans="4:6" x14ac:dyDescent="0.35">
      <c r="D4" s="7"/>
      <c r="E4" s="22" t="s">
        <v>913</v>
      </c>
      <c r="F4" s="25" t="s">
        <v>925</v>
      </c>
    </row>
    <row r="5" spans="4:6" x14ac:dyDescent="0.35">
      <c r="D5" s="7"/>
      <c r="E5" s="23" t="s">
        <v>914</v>
      </c>
      <c r="F5" s="25" t="s">
        <v>926</v>
      </c>
    </row>
    <row r="6" spans="4:6" x14ac:dyDescent="0.35">
      <c r="D6" s="7"/>
      <c r="E6" s="23" t="s">
        <v>915</v>
      </c>
      <c r="F6" s="25" t="s">
        <v>927</v>
      </c>
    </row>
    <row r="7" spans="4:6" x14ac:dyDescent="0.35">
      <c r="D7" s="7"/>
      <c r="E7" s="23" t="s">
        <v>916</v>
      </c>
      <c r="F7" s="25" t="s">
        <v>928</v>
      </c>
    </row>
    <row r="8" spans="4:6" x14ac:dyDescent="0.35">
      <c r="D8" s="7"/>
      <c r="E8" s="23" t="s">
        <v>917</v>
      </c>
      <c r="F8" s="25" t="s">
        <v>929</v>
      </c>
    </row>
    <row r="9" spans="4:6" x14ac:dyDescent="0.35">
      <c r="D9" s="7"/>
      <c r="E9" s="23" t="s">
        <v>918</v>
      </c>
      <c r="F9" s="25" t="s">
        <v>930</v>
      </c>
    </row>
    <row r="10" spans="4:6" x14ac:dyDescent="0.35">
      <c r="D10" s="7"/>
      <c r="E10" s="23" t="s">
        <v>919</v>
      </c>
      <c r="F10" s="25" t="s">
        <v>931</v>
      </c>
    </row>
    <row r="11" spans="4:6" x14ac:dyDescent="0.35">
      <c r="D11" s="7"/>
      <c r="E11" s="23" t="s">
        <v>920</v>
      </c>
      <c r="F11" s="25" t="s">
        <v>932</v>
      </c>
    </row>
    <row r="12" spans="4:6" x14ac:dyDescent="0.35">
      <c r="D12" s="7"/>
      <c r="E12" s="22" t="s">
        <v>921</v>
      </c>
      <c r="F12" s="25" t="s">
        <v>933</v>
      </c>
    </row>
    <row r="13" spans="4:6" x14ac:dyDescent="0.35">
      <c r="D13" s="7"/>
      <c r="E13" s="23" t="s">
        <v>922</v>
      </c>
      <c r="F13" s="25" t="s">
        <v>934</v>
      </c>
    </row>
    <row r="14" spans="4:6" x14ac:dyDescent="0.35">
      <c r="D14" s="7"/>
      <c r="E14" s="23" t="s">
        <v>923</v>
      </c>
      <c r="F14" s="26"/>
    </row>
    <row r="15" spans="4:6" x14ac:dyDescent="0.35">
      <c r="D15" s="7"/>
      <c r="E15" s="23" t="s">
        <v>924</v>
      </c>
      <c r="F15" s="26"/>
    </row>
    <row r="16" spans="4:6" x14ac:dyDescent="0.35">
      <c r="E16" s="22"/>
      <c r="F16"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F74D69-3213-4520-AE67-249817C1C1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billing</vt:lpstr>
      <vt:lpstr>treatments</vt:lpstr>
      <vt:lpstr>doctors</vt:lpstr>
      <vt:lpstr>patients</vt:lpstr>
      <vt:lpstr>appointments</vt:lpstr>
      <vt:lpstr>TOTAL APPOINTMENT</vt:lpstr>
      <vt:lpstr>NO-SHOW %</vt:lpstr>
      <vt:lpstr>COMPLETION RATE</vt:lpstr>
      <vt:lpstr>TOTAL BILLING BY PAYMENT STATUS</vt:lpstr>
      <vt:lpstr>BILLING PAYMENT STATUS</vt:lpstr>
      <vt:lpstr>PERCENTAGES OF TOTAL BILING</vt:lpstr>
      <vt:lpstr>AVERAGE COST BY TREATMENT</vt:lpstr>
      <vt:lpstr>TOTAL TREATMENT COST BY TREATME</vt:lpstr>
      <vt:lpstr>DASHBOARD</vt:lpstr>
      <vt:lpstr>TOTAL BILLING AMOUNT</vt:lpstr>
      <vt:lpstr>HOSPITAL MANAGEMENT DATA</vt:lpstr>
      <vt:lpstr>CHANGE LOG</vt:lpstr>
      <vt:lpstr>ANALYSIS</vt:lpstr>
      <vt:lpstr>CALCULATIONS</vt:lpstr>
      <vt:lpstr>INSIGHTS&amp;RECOMMENDATIONS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 Fidha</dc:creator>
  <cp:lastModifiedBy>Fathima Fidha</cp:lastModifiedBy>
  <dcterms:created xsi:type="dcterms:W3CDTF">2026-09-24T23:10:57Z</dcterms:created>
  <dcterms:modified xsi:type="dcterms:W3CDTF">2026-09-25T17:25:20Z</dcterms:modified>
</cp:coreProperties>
</file>